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bastian Mercado\Documents\UNIVERSIDAD\CAPSTONE PROJECT SISTEMAS\SEMANA 4\"/>
    </mc:Choice>
  </mc:AlternateContent>
  <xr:revisionPtr revIDLastSave="0" documentId="8_{8F115845-A7E2-4E83-A7F1-B0F5C2997D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Supuestos" sheetId="2" r:id="rId2"/>
    <sheet name="1.1 Formalización del Proyecto" sheetId="3" r:id="rId3"/>
    <sheet name="1.2 Planificación del Proyecto" sheetId="4" r:id="rId4"/>
    <sheet name="2.1 Especificación Funcional" sheetId="5" r:id="rId5"/>
    <sheet name="2.2 Modelamiento Funcional" sheetId="6" r:id="rId6"/>
    <sheet name="2.3 Diseño de Arquitectura" sheetId="7" r:id="rId7"/>
    <sheet name="2.4 Diseño de Datos" sheetId="8" r:id="rId8"/>
    <sheet name="2.5 Diseño UI-UX" sheetId="9" r:id="rId9"/>
    <sheet name="3.1 Control de Acceso a Torcly" sheetId="10" r:id="rId10"/>
    <sheet name="4.1 Gestión de Clientes" sheetId="11" r:id="rId11"/>
    <sheet name="4.2 Gestión de Vehículos" sheetId="12" r:id="rId12"/>
    <sheet name="5.1 Catálogo de Productos" sheetId="13" r:id="rId13"/>
    <sheet name="5.2 Control de Inventario" sheetId="14" r:id="rId14"/>
    <sheet name="6.1 Catálogo de Servicios" sheetId="15" r:id="rId15"/>
    <sheet name="7.1 Agenda del Taller" sheetId="16" r:id="rId16"/>
    <sheet name="8.1 Orden de Trabajo" sheetId="17" r:id="rId17"/>
    <sheet name="8.2 Seguimiento del Taller" sheetId="18" r:id="rId18"/>
    <sheet name="9.1 Gestión de Ventas" sheetId="19" r:id="rId19"/>
    <sheet name="9.2 Gestión de Pagos" sheetId="20" r:id="rId20"/>
    <sheet name="10.1 Consulta Centralizada" sheetId="21" r:id="rId21"/>
    <sheet name="11.1 Panel Analítico de Torcly" sheetId="22" r:id="rId22"/>
    <sheet name="12.1 Motor de Apoyo a Reposició" sheetId="23" r:id="rId23"/>
    <sheet name="13.1 Aseguramiento de Calidad" sheetId="24" r:id="rId24"/>
    <sheet name="13.2 Implementación" sheetId="25" r:id="rId25"/>
    <sheet name="13.3 Transferencia de Conocimie" sheetId="26" r:id="rId26"/>
    <sheet name="13.4 Cierre del Proyecto" sheetId="27" r:id="rId2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7" i="27" l="1"/>
  <c r="F28" i="1" s="1"/>
  <c r="H27" i="27"/>
  <c r="E28" i="1" s="1"/>
  <c r="P25" i="27"/>
  <c r="L25" i="27"/>
  <c r="G25" i="27"/>
  <c r="P26" i="27" s="1"/>
  <c r="P18" i="27"/>
  <c r="L18" i="27"/>
  <c r="F13" i="27"/>
  <c r="G13" i="27" s="1"/>
  <c r="G18" i="27" s="1"/>
  <c r="P19" i="27" s="1"/>
  <c r="P11" i="27"/>
  <c r="L11" i="27"/>
  <c r="F6" i="27"/>
  <c r="G6" i="27" s="1"/>
  <c r="G11" i="27" s="1"/>
  <c r="P12" i="27" s="1"/>
  <c r="P25" i="26"/>
  <c r="L25" i="26"/>
  <c r="G25" i="26"/>
  <c r="P18" i="26"/>
  <c r="L18" i="26"/>
  <c r="G14" i="26"/>
  <c r="F14" i="26"/>
  <c r="P11" i="26"/>
  <c r="M27" i="26" s="1"/>
  <c r="F27" i="1" s="1"/>
  <c r="L11" i="26"/>
  <c r="G7" i="26"/>
  <c r="F7" i="26"/>
  <c r="P25" i="25"/>
  <c r="L25" i="25"/>
  <c r="G25" i="25"/>
  <c r="P26" i="25" s="1"/>
  <c r="P19" i="25"/>
  <c r="P18" i="25"/>
  <c r="L18" i="25"/>
  <c r="G18" i="25"/>
  <c r="P11" i="25"/>
  <c r="M27" i="25" s="1"/>
  <c r="F26" i="1" s="1"/>
  <c r="L11" i="25"/>
  <c r="H27" i="25" s="1"/>
  <c r="E26" i="1" s="1"/>
  <c r="G7" i="25"/>
  <c r="F7" i="25"/>
  <c r="P6" i="25"/>
  <c r="L6" i="25"/>
  <c r="P25" i="24"/>
  <c r="L25" i="24"/>
  <c r="P26" i="24" s="1"/>
  <c r="G25" i="24"/>
  <c r="P18" i="24"/>
  <c r="L18" i="24"/>
  <c r="G18" i="24"/>
  <c r="P19" i="24" s="1"/>
  <c r="L11" i="24"/>
  <c r="F10" i="24"/>
  <c r="G10" i="24" s="1"/>
  <c r="F7" i="24"/>
  <c r="G7" i="24" s="1"/>
  <c r="P6" i="24"/>
  <c r="P11" i="24" s="1"/>
  <c r="H27" i="23"/>
  <c r="E24" i="1" s="1"/>
  <c r="P26" i="23"/>
  <c r="P25" i="23"/>
  <c r="L25" i="23"/>
  <c r="G25" i="23"/>
  <c r="P18" i="23"/>
  <c r="M27" i="23" s="1"/>
  <c r="F24" i="1" s="1"/>
  <c r="L18" i="23"/>
  <c r="F14" i="23"/>
  <c r="G14" i="23" s="1"/>
  <c r="P13" i="23"/>
  <c r="G13" i="23"/>
  <c r="G18" i="23" s="1"/>
  <c r="P19" i="23" s="1"/>
  <c r="F13" i="23"/>
  <c r="P11" i="23"/>
  <c r="L11" i="23"/>
  <c r="G7" i="23"/>
  <c r="F7" i="23"/>
  <c r="H27" i="22"/>
  <c r="E23" i="1" s="1"/>
  <c r="P25" i="22"/>
  <c r="L25" i="22"/>
  <c r="G25" i="22"/>
  <c r="P26" i="22" s="1"/>
  <c r="L18" i="22"/>
  <c r="F14" i="22"/>
  <c r="G14" i="22" s="1"/>
  <c r="P13" i="22"/>
  <c r="P18" i="22" s="1"/>
  <c r="M27" i="22" s="1"/>
  <c r="F23" i="1" s="1"/>
  <c r="P11" i="22"/>
  <c r="L11" i="22"/>
  <c r="F7" i="22"/>
  <c r="G7" i="22" s="1"/>
  <c r="P25" i="21"/>
  <c r="P26" i="21" s="1"/>
  <c r="L25" i="21"/>
  <c r="G25" i="21"/>
  <c r="P18" i="21"/>
  <c r="L18" i="21"/>
  <c r="G18" i="21"/>
  <c r="P19" i="21" s="1"/>
  <c r="P11" i="21"/>
  <c r="M27" i="21" s="1"/>
  <c r="F22" i="1" s="1"/>
  <c r="L11" i="21"/>
  <c r="F7" i="21"/>
  <c r="G7" i="21" s="1"/>
  <c r="P26" i="20"/>
  <c r="P25" i="20"/>
  <c r="L25" i="20"/>
  <c r="G25" i="20"/>
  <c r="P18" i="20"/>
  <c r="L18" i="20"/>
  <c r="G18" i="20"/>
  <c r="P11" i="20"/>
  <c r="L11" i="20"/>
  <c r="H27" i="20" s="1"/>
  <c r="E21" i="1" s="1"/>
  <c r="P25" i="19"/>
  <c r="L25" i="19"/>
  <c r="G25" i="19"/>
  <c r="P26" i="19" s="1"/>
  <c r="P19" i="19"/>
  <c r="P18" i="19"/>
  <c r="L18" i="19"/>
  <c r="G18" i="19"/>
  <c r="P11" i="19"/>
  <c r="M27" i="19" s="1"/>
  <c r="F20" i="1" s="1"/>
  <c r="L11" i="19"/>
  <c r="H27" i="19" s="1"/>
  <c r="E20" i="1" s="1"/>
  <c r="F7" i="19"/>
  <c r="G7" i="19" s="1"/>
  <c r="P25" i="18"/>
  <c r="P26" i="18" s="1"/>
  <c r="L25" i="18"/>
  <c r="G25" i="18"/>
  <c r="P18" i="18"/>
  <c r="L18" i="18"/>
  <c r="G18" i="18"/>
  <c r="P19" i="18" s="1"/>
  <c r="P11" i="18"/>
  <c r="M27" i="18" s="1"/>
  <c r="F19" i="1" s="1"/>
  <c r="L11" i="18"/>
  <c r="H27" i="18" s="1"/>
  <c r="E19" i="1" s="1"/>
  <c r="F7" i="18"/>
  <c r="G7" i="18" s="1"/>
  <c r="P25" i="17"/>
  <c r="L25" i="17"/>
  <c r="F21" i="17"/>
  <c r="G21" i="17" s="1"/>
  <c r="P18" i="17"/>
  <c r="L18" i="17"/>
  <c r="H27" i="17" s="1"/>
  <c r="E18" i="1" s="1"/>
  <c r="G14" i="17"/>
  <c r="F14" i="17"/>
  <c r="P11" i="17"/>
  <c r="M27" i="17" s="1"/>
  <c r="F18" i="1" s="1"/>
  <c r="L11" i="17"/>
  <c r="F7" i="17"/>
  <c r="G7" i="17" s="1"/>
  <c r="G6" i="17"/>
  <c r="F6" i="17"/>
  <c r="P25" i="16"/>
  <c r="P26" i="16" s="1"/>
  <c r="L25" i="16"/>
  <c r="G25" i="16"/>
  <c r="P18" i="16"/>
  <c r="L18" i="16"/>
  <c r="G18" i="16"/>
  <c r="P19" i="16" s="1"/>
  <c r="G14" i="16"/>
  <c r="F14" i="16"/>
  <c r="P11" i="16"/>
  <c r="M27" i="16" s="1"/>
  <c r="F17" i="1" s="1"/>
  <c r="L11" i="16"/>
  <c r="H27" i="16" s="1"/>
  <c r="E17" i="1" s="1"/>
  <c r="F7" i="16"/>
  <c r="G7" i="16" s="1"/>
  <c r="F6" i="16"/>
  <c r="G6" i="16" s="1"/>
  <c r="G11" i="16" s="1"/>
  <c r="P25" i="15"/>
  <c r="P26" i="15" s="1"/>
  <c r="L25" i="15"/>
  <c r="G25" i="15"/>
  <c r="P18" i="15"/>
  <c r="L18" i="15"/>
  <c r="G14" i="15"/>
  <c r="F14" i="15"/>
  <c r="P11" i="15"/>
  <c r="L11" i="15"/>
  <c r="M27" i="14"/>
  <c r="F15" i="1" s="1"/>
  <c r="P25" i="14"/>
  <c r="L25" i="14"/>
  <c r="G25" i="14"/>
  <c r="P26" i="14" s="1"/>
  <c r="P18" i="14"/>
  <c r="L18" i="14"/>
  <c r="F14" i="14"/>
  <c r="G14" i="14" s="1"/>
  <c r="P11" i="14"/>
  <c r="L11" i="14"/>
  <c r="H27" i="14" s="1"/>
  <c r="E15" i="1" s="1"/>
  <c r="L6" i="14"/>
  <c r="P25" i="13"/>
  <c r="L25" i="13"/>
  <c r="G25" i="13"/>
  <c r="P18" i="13"/>
  <c r="L18" i="13"/>
  <c r="G14" i="13"/>
  <c r="F14" i="13"/>
  <c r="P11" i="13"/>
  <c r="M27" i="13" s="1"/>
  <c r="F14" i="1" s="1"/>
  <c r="L11" i="13"/>
  <c r="F7" i="13"/>
  <c r="G7" i="13" s="1"/>
  <c r="P25" i="12"/>
  <c r="L25" i="12"/>
  <c r="G25" i="12"/>
  <c r="P26" i="12" s="1"/>
  <c r="P18" i="12"/>
  <c r="L18" i="12"/>
  <c r="G14" i="12"/>
  <c r="F14" i="12"/>
  <c r="P11" i="12"/>
  <c r="M27" i="12" s="1"/>
  <c r="F13" i="1" s="1"/>
  <c r="L11" i="12"/>
  <c r="H27" i="12" s="1"/>
  <c r="E13" i="1" s="1"/>
  <c r="F7" i="12"/>
  <c r="G7" i="12" s="1"/>
  <c r="F6" i="12"/>
  <c r="G6" i="12" s="1"/>
  <c r="G11" i="12" s="1"/>
  <c r="P25" i="11"/>
  <c r="M27" i="11" s="1"/>
  <c r="F12" i="1" s="1"/>
  <c r="L25" i="11"/>
  <c r="G25" i="11"/>
  <c r="P26" i="11" s="1"/>
  <c r="P18" i="11"/>
  <c r="L18" i="11"/>
  <c r="H27" i="11" s="1"/>
  <c r="E12" i="1" s="1"/>
  <c r="G15" i="11"/>
  <c r="F15" i="11"/>
  <c r="F13" i="11"/>
  <c r="G13" i="11" s="1"/>
  <c r="P11" i="11"/>
  <c r="L11" i="11"/>
  <c r="F7" i="11"/>
  <c r="G7" i="11" s="1"/>
  <c r="P25" i="10"/>
  <c r="L25" i="10"/>
  <c r="P18" i="10"/>
  <c r="L18" i="10"/>
  <c r="F14" i="10"/>
  <c r="G14" i="10" s="1"/>
  <c r="G13" i="10"/>
  <c r="G18" i="10" s="1"/>
  <c r="P19" i="10" s="1"/>
  <c r="F13" i="10"/>
  <c r="P11" i="10"/>
  <c r="M27" i="10" s="1"/>
  <c r="F11" i="1" s="1"/>
  <c r="L11" i="10"/>
  <c r="H27" i="10" s="1"/>
  <c r="E11" i="1" s="1"/>
  <c r="G7" i="10"/>
  <c r="F7" i="10"/>
  <c r="P25" i="9"/>
  <c r="L25" i="9"/>
  <c r="G25" i="9"/>
  <c r="P26" i="9" s="1"/>
  <c r="P19" i="9"/>
  <c r="P18" i="9"/>
  <c r="L18" i="9"/>
  <c r="G18" i="9"/>
  <c r="P11" i="9"/>
  <c r="M27" i="9" s="1"/>
  <c r="F10" i="1" s="1"/>
  <c r="L11" i="9"/>
  <c r="H27" i="9" s="1"/>
  <c r="E10" i="1" s="1"/>
  <c r="F7" i="9"/>
  <c r="G7" i="9" s="1"/>
  <c r="P6" i="9"/>
  <c r="F6" i="9"/>
  <c r="G6" i="9" s="1"/>
  <c r="G11" i="9" s="1"/>
  <c r="P25" i="8"/>
  <c r="P26" i="8" s="1"/>
  <c r="L25" i="8"/>
  <c r="G25" i="8"/>
  <c r="P18" i="8"/>
  <c r="L18" i="8"/>
  <c r="G18" i="8"/>
  <c r="P19" i="8" s="1"/>
  <c r="P11" i="8"/>
  <c r="M27" i="8" s="1"/>
  <c r="F9" i="1" s="1"/>
  <c r="L11" i="8"/>
  <c r="H27" i="8" s="1"/>
  <c r="E9" i="1" s="1"/>
  <c r="F7" i="8"/>
  <c r="G7" i="8" s="1"/>
  <c r="P26" i="7"/>
  <c r="P25" i="7"/>
  <c r="L25" i="7"/>
  <c r="G25" i="7"/>
  <c r="P18" i="7"/>
  <c r="P19" i="7" s="1"/>
  <c r="L18" i="7"/>
  <c r="G18" i="7"/>
  <c r="P11" i="7"/>
  <c r="M27" i="7" s="1"/>
  <c r="F8" i="1" s="1"/>
  <c r="L11" i="7"/>
  <c r="H27" i="7" s="1"/>
  <c r="E8" i="1" s="1"/>
  <c r="G9" i="7"/>
  <c r="F9" i="7"/>
  <c r="F7" i="7"/>
  <c r="G7" i="7" s="1"/>
  <c r="P26" i="6"/>
  <c r="P25" i="6"/>
  <c r="L25" i="6"/>
  <c r="G25" i="6"/>
  <c r="P18" i="6"/>
  <c r="P19" i="6" s="1"/>
  <c r="L18" i="6"/>
  <c r="G18" i="6"/>
  <c r="P11" i="6"/>
  <c r="L11" i="6"/>
  <c r="H27" i="6" s="1"/>
  <c r="E7" i="1" s="1"/>
  <c r="G7" i="6"/>
  <c r="F7" i="6"/>
  <c r="M27" i="5"/>
  <c r="F6" i="1" s="1"/>
  <c r="P25" i="5"/>
  <c r="L25" i="5"/>
  <c r="G25" i="5"/>
  <c r="P26" i="5" s="1"/>
  <c r="P19" i="5"/>
  <c r="P18" i="5"/>
  <c r="L18" i="5"/>
  <c r="G18" i="5"/>
  <c r="P11" i="5"/>
  <c r="P12" i="5" s="1"/>
  <c r="L11" i="5"/>
  <c r="F6" i="5"/>
  <c r="G6" i="5" s="1"/>
  <c r="G11" i="5" s="1"/>
  <c r="M27" i="4"/>
  <c r="F5" i="1" s="1"/>
  <c r="P25" i="4"/>
  <c r="L25" i="4"/>
  <c r="P18" i="4"/>
  <c r="L18" i="4"/>
  <c r="G18" i="4"/>
  <c r="P19" i="4" s="1"/>
  <c r="P13" i="4"/>
  <c r="G13" i="4"/>
  <c r="F13" i="4"/>
  <c r="P11" i="4"/>
  <c r="L11" i="4"/>
  <c r="F6" i="4"/>
  <c r="G6" i="4" s="1"/>
  <c r="G11" i="4" s="1"/>
  <c r="M27" i="3"/>
  <c r="H27" i="3"/>
  <c r="P25" i="3"/>
  <c r="L25" i="3"/>
  <c r="G25" i="3"/>
  <c r="P26" i="3" s="1"/>
  <c r="P19" i="3"/>
  <c r="P18" i="3"/>
  <c r="L18" i="3"/>
  <c r="G18" i="3"/>
  <c r="P11" i="3"/>
  <c r="L11" i="3"/>
  <c r="P12" i="3" s="1"/>
  <c r="G11" i="3"/>
  <c r="D27" i="3" s="1"/>
  <c r="G6" i="3"/>
  <c r="F6" i="3"/>
  <c r="E8" i="2"/>
  <c r="F13" i="17" s="1"/>
  <c r="G13" i="17" s="1"/>
  <c r="G18" i="17" s="1"/>
  <c r="P19" i="17" s="1"/>
  <c r="E7" i="2"/>
  <c r="E6" i="2"/>
  <c r="E5" i="2"/>
  <c r="F13" i="16" s="1"/>
  <c r="G13" i="16" s="1"/>
  <c r="E4" i="2"/>
  <c r="F8" i="22" s="1"/>
  <c r="G8" i="22" s="1"/>
  <c r="C41" i="1"/>
  <c r="B41" i="1"/>
  <c r="D41" i="1" s="1"/>
  <c r="B40" i="1"/>
  <c r="B39" i="1"/>
  <c r="C38" i="1"/>
  <c r="B38" i="1"/>
  <c r="D38" i="1" s="1"/>
  <c r="C37" i="1"/>
  <c r="B37" i="1"/>
  <c r="D37" i="1" s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F4" i="1"/>
  <c r="E4" i="1"/>
  <c r="C4" i="1"/>
  <c r="D27" i="16" l="1"/>
  <c r="P12" i="16"/>
  <c r="P12" i="9"/>
  <c r="D27" i="9"/>
  <c r="P28" i="3"/>
  <c r="G4" i="1" s="1"/>
  <c r="D4" i="1"/>
  <c r="C39" i="1"/>
  <c r="D39" i="1" s="1"/>
  <c r="D42" i="1" s="1"/>
  <c r="K4" i="1" s="1"/>
  <c r="F20" i="17"/>
  <c r="G20" i="17" s="1"/>
  <c r="G25" i="17" s="1"/>
  <c r="P26" i="17" s="1"/>
  <c r="F6" i="7"/>
  <c r="G6" i="7" s="1"/>
  <c r="F6" i="15"/>
  <c r="G6" i="15" s="1"/>
  <c r="G11" i="15" s="1"/>
  <c r="F9" i="24"/>
  <c r="G9" i="24" s="1"/>
  <c r="F6" i="11"/>
  <c r="G6" i="11" s="1"/>
  <c r="G11" i="11" s="1"/>
  <c r="F6" i="25"/>
  <c r="G6" i="25" s="1"/>
  <c r="F13" i="26"/>
  <c r="G13" i="26" s="1"/>
  <c r="G18" i="26" s="1"/>
  <c r="P19" i="26" s="1"/>
  <c r="F6" i="10"/>
  <c r="G6" i="10" s="1"/>
  <c r="G11" i="10" s="1"/>
  <c r="M27" i="6"/>
  <c r="F7" i="1" s="1"/>
  <c r="H27" i="13"/>
  <c r="E14" i="1" s="1"/>
  <c r="F6" i="19"/>
  <c r="G6" i="19" s="1"/>
  <c r="G11" i="19" s="1"/>
  <c r="H27" i="26"/>
  <c r="E27" i="1" s="1"/>
  <c r="F6" i="20"/>
  <c r="G6" i="20" s="1"/>
  <c r="F8" i="7"/>
  <c r="G8" i="7" s="1"/>
  <c r="F6" i="8"/>
  <c r="G6" i="8" s="1"/>
  <c r="G11" i="8" s="1"/>
  <c r="F6" i="23"/>
  <c r="G6" i="23" s="1"/>
  <c r="G11" i="23" s="1"/>
  <c r="F13" i="14"/>
  <c r="G13" i="14" s="1"/>
  <c r="G18" i="14" s="1"/>
  <c r="P19" i="14" s="1"/>
  <c r="F8" i="24"/>
  <c r="G8" i="24" s="1"/>
  <c r="F13" i="13"/>
  <c r="G13" i="13" s="1"/>
  <c r="G18" i="13" s="1"/>
  <c r="P19" i="13" s="1"/>
  <c r="C40" i="1"/>
  <c r="D40" i="1" s="1"/>
  <c r="H27" i="15"/>
  <c r="E16" i="1" s="1"/>
  <c r="G11" i="17"/>
  <c r="F20" i="10"/>
  <c r="G20" i="10" s="1"/>
  <c r="G25" i="10" s="1"/>
  <c r="P26" i="10" s="1"/>
  <c r="M27" i="15"/>
  <c r="F16" i="1" s="1"/>
  <c r="H27" i="21"/>
  <c r="E22" i="1" s="1"/>
  <c r="P12" i="4"/>
  <c r="D27" i="4"/>
  <c r="M27" i="20"/>
  <c r="F21" i="1" s="1"/>
  <c r="P19" i="20"/>
  <c r="D27" i="5"/>
  <c r="P26" i="13"/>
  <c r="P26" i="26"/>
  <c r="H27" i="5"/>
  <c r="E6" i="1" s="1"/>
  <c r="H27" i="4"/>
  <c r="E5" i="1" s="1"/>
  <c r="P12" i="12"/>
  <c r="D27" i="12"/>
  <c r="H27" i="24"/>
  <c r="E25" i="1" s="1"/>
  <c r="M27" i="24"/>
  <c r="F25" i="1" s="1"/>
  <c r="F6" i="13"/>
  <c r="G6" i="13" s="1"/>
  <c r="G11" i="13" s="1"/>
  <c r="F6" i="22"/>
  <c r="G6" i="22" s="1"/>
  <c r="G11" i="22" s="1"/>
  <c r="F8" i="25"/>
  <c r="G8" i="25" s="1"/>
  <c r="F6" i="14"/>
  <c r="G6" i="14" s="1"/>
  <c r="G11" i="14" s="1"/>
  <c r="F8" i="26"/>
  <c r="G8" i="26" s="1"/>
  <c r="D27" i="27"/>
  <c r="F14" i="11"/>
  <c r="G14" i="11" s="1"/>
  <c r="G18" i="11" s="1"/>
  <c r="P19" i="11" s="1"/>
  <c r="F13" i="12"/>
  <c r="G13" i="12" s="1"/>
  <c r="G18" i="12" s="1"/>
  <c r="P19" i="12" s="1"/>
  <c r="F6" i="26"/>
  <c r="G6" i="26" s="1"/>
  <c r="G11" i="26" s="1"/>
  <c r="F7" i="20"/>
  <c r="G7" i="20" s="1"/>
  <c r="F13" i="22"/>
  <c r="G13" i="22" s="1"/>
  <c r="G18" i="22" s="1"/>
  <c r="P19" i="22" s="1"/>
  <c r="F9" i="25"/>
  <c r="G9" i="25" s="1"/>
  <c r="F9" i="26"/>
  <c r="G9" i="26" s="1"/>
  <c r="F20" i="4"/>
  <c r="G20" i="4" s="1"/>
  <c r="G25" i="4" s="1"/>
  <c r="P26" i="4" s="1"/>
  <c r="F7" i="14"/>
  <c r="G7" i="14" s="1"/>
  <c r="F6" i="18"/>
  <c r="G6" i="18" s="1"/>
  <c r="G11" i="18" s="1"/>
  <c r="F6" i="21"/>
  <c r="G6" i="21" s="1"/>
  <c r="G11" i="21" s="1"/>
  <c r="F6" i="24"/>
  <c r="G6" i="24" s="1"/>
  <c r="G11" i="24" s="1"/>
  <c r="F6" i="6"/>
  <c r="G6" i="6" s="1"/>
  <c r="G11" i="6" s="1"/>
  <c r="F13" i="15"/>
  <c r="G13" i="15" s="1"/>
  <c r="G18" i="15" s="1"/>
  <c r="P19" i="15" s="1"/>
  <c r="P28" i="4" l="1"/>
  <c r="G5" i="1" s="1"/>
  <c r="D5" i="1"/>
  <c r="D27" i="8"/>
  <c r="P12" i="8"/>
  <c r="D27" i="15"/>
  <c r="P12" i="15"/>
  <c r="G11" i="7"/>
  <c r="G11" i="20"/>
  <c r="D27" i="24"/>
  <c r="P12" i="24"/>
  <c r="P28" i="12"/>
  <c r="G13" i="1" s="1"/>
  <c r="D13" i="1"/>
  <c r="P12" i="6"/>
  <c r="D27" i="6"/>
  <c r="P12" i="17"/>
  <c r="D27" i="17"/>
  <c r="P28" i="27"/>
  <c r="G28" i="1" s="1"/>
  <c r="D28" i="1"/>
  <c r="D27" i="21"/>
  <c r="P12" i="21"/>
  <c r="P28" i="9"/>
  <c r="G10" i="1" s="1"/>
  <c r="D10" i="1"/>
  <c r="D27" i="14"/>
  <c r="P12" i="14"/>
  <c r="P12" i="26"/>
  <c r="D27" i="26"/>
  <c r="D27" i="19"/>
  <c r="P12" i="19"/>
  <c r="P12" i="10"/>
  <c r="D27" i="10"/>
  <c r="D27" i="18"/>
  <c r="P12" i="18"/>
  <c r="D6" i="1"/>
  <c r="P28" i="5"/>
  <c r="G6" i="1" s="1"/>
  <c r="G11" i="25"/>
  <c r="D27" i="22"/>
  <c r="P12" i="22"/>
  <c r="D27" i="11"/>
  <c r="P12" i="11"/>
  <c r="P28" i="16"/>
  <c r="G17" i="1" s="1"/>
  <c r="D17" i="1"/>
  <c r="P12" i="13"/>
  <c r="D27" i="13"/>
  <c r="P12" i="23"/>
  <c r="D27" i="23"/>
  <c r="P28" i="24" l="1"/>
  <c r="G25" i="1" s="1"/>
  <c r="D25" i="1"/>
  <c r="P28" i="18"/>
  <c r="G19" i="1" s="1"/>
  <c r="D19" i="1"/>
  <c r="P28" i="21"/>
  <c r="G22" i="1" s="1"/>
  <c r="D22" i="1"/>
  <c r="P28" i="23"/>
  <c r="G24" i="1" s="1"/>
  <c r="D24" i="1"/>
  <c r="P28" i="13"/>
  <c r="G14" i="1" s="1"/>
  <c r="D14" i="1"/>
  <c r="P12" i="20"/>
  <c r="D27" i="20"/>
  <c r="P12" i="7"/>
  <c r="D27" i="7"/>
  <c r="P28" i="10"/>
  <c r="G11" i="1" s="1"/>
  <c r="D11" i="1"/>
  <c r="P28" i="15"/>
  <c r="G16" i="1" s="1"/>
  <c r="D16" i="1"/>
  <c r="P28" i="17"/>
  <c r="G18" i="1" s="1"/>
  <c r="D18" i="1"/>
  <c r="P28" i="19"/>
  <c r="G20" i="1" s="1"/>
  <c r="D20" i="1"/>
  <c r="P28" i="8"/>
  <c r="G9" i="1" s="1"/>
  <c r="D9" i="1"/>
  <c r="P12" i="25"/>
  <c r="D27" i="25"/>
  <c r="P28" i="22"/>
  <c r="G23" i="1" s="1"/>
  <c r="D23" i="1"/>
  <c r="D15" i="1"/>
  <c r="P28" i="14"/>
  <c r="G15" i="1" s="1"/>
  <c r="P28" i="11"/>
  <c r="G12" i="1" s="1"/>
  <c r="D12" i="1"/>
  <c r="P28" i="26"/>
  <c r="G27" i="1" s="1"/>
  <c r="D27" i="1"/>
  <c r="P28" i="6"/>
  <c r="G7" i="1" s="1"/>
  <c r="D7" i="1"/>
  <c r="P28" i="25" l="1"/>
  <c r="G26" i="1" s="1"/>
  <c r="D26" i="1"/>
  <c r="P28" i="7"/>
  <c r="G8" i="1" s="1"/>
  <c r="D8" i="1"/>
  <c r="P28" i="20"/>
  <c r="G21" i="1" s="1"/>
  <c r="D21" i="1"/>
  <c r="G30" i="1"/>
  <c r="G31" i="1" l="1"/>
  <c r="K9" i="1" s="1"/>
  <c r="G32" i="1" l="1"/>
  <c r="G38" i="1" l="1"/>
  <c r="G39" i="1" s="1"/>
  <c r="G40" i="1" s="1"/>
  <c r="H4" i="1"/>
  <c r="H13" i="1"/>
  <c r="H6" i="1"/>
  <c r="H5" i="1"/>
  <c r="H10" i="1"/>
  <c r="H28" i="1"/>
  <c r="H17" i="1"/>
  <c r="H18" i="1"/>
  <c r="H11" i="1"/>
  <c r="H20" i="1"/>
  <c r="H23" i="1"/>
  <c r="H22" i="1"/>
  <c r="H15" i="1"/>
  <c r="H9" i="1"/>
  <c r="H24" i="1"/>
  <c r="H27" i="1"/>
  <c r="H7" i="1"/>
  <c r="H19" i="1"/>
  <c r="H14" i="1"/>
  <c r="H25" i="1"/>
  <c r="H12" i="1"/>
  <c r="H16" i="1"/>
  <c r="H26" i="1"/>
  <c r="H21" i="1"/>
  <c r="H8" i="1"/>
</calcChain>
</file>

<file path=xl/sharedStrings.xml><?xml version="1.0" encoding="utf-8"?>
<sst xmlns="http://schemas.openxmlformats.org/spreadsheetml/2006/main" count="1098" uniqueCount="269">
  <si>
    <t>RESUMEN DE COSTEO POR PAQUETE DE TRABAJO - SISTEMA WEB TORCLY (ESCENARIO DE MERCADO)</t>
  </si>
  <si>
    <t>Código</t>
  </si>
  <si>
    <t>Paquete de trabajo</t>
  </si>
  <si>
    <t>Horas RR.HH.</t>
  </si>
  <si>
    <t>Costo RR.HH. (S/)</t>
  </si>
  <si>
    <t>Equipos / Infraestructura (S/)</t>
  </si>
  <si>
    <t>Consumibles / Servicios (S/)</t>
  </si>
  <si>
    <t>Costo del paquete (S/)</t>
  </si>
  <si>
    <t>% del total</t>
  </si>
  <si>
    <t>Categoría</t>
  </si>
  <si>
    <t>Monto (S/)</t>
  </si>
  <si>
    <t>1.1</t>
  </si>
  <si>
    <t>Formalización del Proyecto</t>
  </si>
  <si>
    <t>Recursos humanos</t>
  </si>
  <si>
    <t>1.2</t>
  </si>
  <si>
    <t>Planificación del Proyecto</t>
  </si>
  <si>
    <t>Infraestructura tecnológica</t>
  </si>
  <si>
    <t>2.1</t>
  </si>
  <si>
    <t>Especificación Funcional</t>
  </si>
  <si>
    <t>Hardware y equipamiento</t>
  </si>
  <si>
    <t>2.2</t>
  </si>
  <si>
    <t>Modelamiento Funcional</t>
  </si>
  <si>
    <t>Software y herramientas</t>
  </si>
  <si>
    <t>2.3</t>
  </si>
  <si>
    <t>Diseño de Arquitectura</t>
  </si>
  <si>
    <t>Pruebas e implementación</t>
  </si>
  <si>
    <t>2.4</t>
  </si>
  <si>
    <t>Diseño de Datos</t>
  </si>
  <si>
    <t>Contingencia</t>
  </si>
  <si>
    <t>2.5</t>
  </si>
  <si>
    <t>Diseño UI/UX</t>
  </si>
  <si>
    <t>3.1</t>
  </si>
  <si>
    <t>Control de Acceso a Torcly</t>
  </si>
  <si>
    <t>4.1</t>
  </si>
  <si>
    <t>Gestión de Clientes</t>
  </si>
  <si>
    <t>4.2</t>
  </si>
  <si>
    <t>Gestión de Vehículos</t>
  </si>
  <si>
    <t>5.1</t>
  </si>
  <si>
    <t>Catálogo de Productos</t>
  </si>
  <si>
    <t>5.2</t>
  </si>
  <si>
    <t>Control de Inventario</t>
  </si>
  <si>
    <t>6.1</t>
  </si>
  <si>
    <t>Catálogo de Servicios</t>
  </si>
  <si>
    <t>7.1</t>
  </si>
  <si>
    <t>Agenda del Taller</t>
  </si>
  <si>
    <t>8.1</t>
  </si>
  <si>
    <t>Orden de Trabajo</t>
  </si>
  <si>
    <t>8.2</t>
  </si>
  <si>
    <t>Seguimiento del Taller</t>
  </si>
  <si>
    <t>9.1</t>
  </si>
  <si>
    <t>Gestión de Ventas</t>
  </si>
  <si>
    <t>9.2</t>
  </si>
  <si>
    <t>Gestión de Pagos</t>
  </si>
  <si>
    <t>10.1</t>
  </si>
  <si>
    <t>Consulta Centralizada</t>
  </si>
  <si>
    <t>11.1</t>
  </si>
  <si>
    <t>Panel Analítico de Torcly</t>
  </si>
  <si>
    <t>12.1</t>
  </si>
  <si>
    <t>Motor de Apoyo a Reposición</t>
  </si>
  <si>
    <t>13.1</t>
  </si>
  <si>
    <t>Aseguramiento de Calidad</t>
  </si>
  <si>
    <t>13.2</t>
  </si>
  <si>
    <t>Implementación</t>
  </si>
  <si>
    <t>13.3</t>
  </si>
  <si>
    <t>Transferencia de Conocimiento</t>
  </si>
  <si>
    <t>13.4</t>
  </si>
  <si>
    <t>Cierre del Proyecto</t>
  </si>
  <si>
    <t>SUBTOTAL PAQUETES DE TRABAJO</t>
  </si>
  <si>
    <t>RESERVA DE CONTINGENCIA</t>
  </si>
  <si>
    <t>TOTAL PRESUPUESTO DEL PROYECTO</t>
  </si>
  <si>
    <t>VALORIZACIÓN DE RECURSOS HUMANOS</t>
  </si>
  <si>
    <t>COMPARACIÓN PRESUPUESTARIA</t>
  </si>
  <si>
    <t>Recurso</t>
  </si>
  <si>
    <t>Horas</t>
  </si>
  <si>
    <t>Tarifa/hora (S/)</t>
  </si>
  <si>
    <t>Costo total (S/)</t>
  </si>
  <si>
    <t>Concepto</t>
  </si>
  <si>
    <t>Monto / Valor</t>
  </si>
  <si>
    <t>Comentario</t>
  </si>
  <si>
    <t>José Manuel Sebastián Mercado Rojas</t>
  </si>
  <si>
    <t>Presupuesto referencial anterior</t>
  </si>
  <si>
    <t>Base previa del Business Case</t>
  </si>
  <si>
    <t>Arian Armando Bautista Quezada</t>
  </si>
  <si>
    <t>Nuevo estimado de mercado</t>
  </si>
  <si>
    <t>Calculado con tarifas salariales de mercado y 8% de contingencia</t>
  </si>
  <si>
    <t>Brenda Gabriela Ormeño Bocanegra</t>
  </si>
  <si>
    <t>Variación absoluta</t>
  </si>
  <si>
    <t>Diferencia frente al presupuesto anterior</t>
  </si>
  <si>
    <t>Piero Ramírez Alva</t>
  </si>
  <si>
    <t>Variación porcentual</t>
  </si>
  <si>
    <t>Incremento frente al presupuesto anterior</t>
  </si>
  <si>
    <t>Carmen Katerin Vega Meza</t>
  </si>
  <si>
    <t>TOTAL RECURSOS HUMANOS</t>
  </si>
  <si>
    <t>SUPUESTOS Y TARIFAS DE COSTEO - TORCLY</t>
  </si>
  <si>
    <t>Rol</t>
  </si>
  <si>
    <t>Sueldo mensual referencial (S/)</t>
  </si>
  <si>
    <t>Horas base / mes</t>
  </si>
  <si>
    <t>Tarifa por hora (S/)</t>
  </si>
  <si>
    <t>Fuente / criterio</t>
  </si>
  <si>
    <t>Líder del Proyecto</t>
  </si>
  <si>
    <t>Indeed Perú - Jefe de proyectos TI en Lima (actualizado 2026): https://pe.indeed.com/career/jefe-de-proyectos-ti/salaries/Lima--Lima</t>
  </si>
  <si>
    <t>Analista de Sistemas</t>
  </si>
  <si>
    <t>Indeed Perú - Analista de sistema en Lima (actualizado 2026): https://pe.indeed.com/career/analista-de-sistema/salaries/Lima--Lima</t>
  </si>
  <si>
    <t>Programadora Full-Stack</t>
  </si>
  <si>
    <t>Referencia de mercado: ofertas Full Stack en Perú entre S/ 3,000 y S/ 4,000 mensuales; se usa el punto medio. https://pe.indeed.com/career/desarrollador-de-software/salaries</t>
  </si>
  <si>
    <t>Administrador de Base de Datos</t>
  </si>
  <si>
    <t>Indeed Perú - Administrador/a de base de datos (actualizado 2026): https://pe.indeed.com/career/administrador-de-base-de-datos/salaries</t>
  </si>
  <si>
    <t>Criterio laboral: la tarifa horaria es equivalente al sueldo mensual referencial dividido entre 160 horas/mes. Representa mano de obra directa valorizada; no incorpora beneficios sociales, impuestos ni overhead empresarial.</t>
  </si>
  <si>
    <t>Categoría no laboral</t>
  </si>
  <si>
    <t>Monto base (S/)</t>
  </si>
  <si>
    <t>Asignación</t>
  </si>
  <si>
    <t>13.2 Implementación</t>
  </si>
  <si>
    <t>Estimación presupuestaria del proyecto: hosting, dominio y recursos de despliegue.</t>
  </si>
  <si>
    <t>5.2 Control de Inventario</t>
  </si>
  <si>
    <t>Estimación presupuestaria del proyecto: lector de código de barras y accesorios.</t>
  </si>
  <si>
    <t>1.2 / 2.5 / 11.1 / 12.1</t>
  </si>
  <si>
    <t>Estimación presupuestaria del proyecto para herramientas de gestión, prototipado, BI e IA.</t>
  </si>
  <si>
    <t>13.1 / 13.2</t>
  </si>
  <si>
    <t>Estimación presupuestaria del proyecto para pruebas, configuración y despliegue.</t>
  </si>
  <si>
    <t>Resumen</t>
  </si>
  <si>
    <t>Reserva calculada como 8% del subtotal del proyecto antes de contingencia.</t>
  </si>
  <si>
    <t>Conversión de duración</t>
  </si>
  <si>
    <t>Valor</t>
  </si>
  <si>
    <t>Aplicación</t>
  </si>
  <si>
    <t>Observación</t>
  </si>
  <si>
    <t>1 día de trabajo</t>
  </si>
  <si>
    <t>Cronograma</t>
  </si>
  <si>
    <t>Se convierte a 8 horas para el costeo</t>
  </si>
  <si>
    <t>4 horas</t>
  </si>
  <si>
    <t>Se mantiene como 4 horas</t>
  </si>
  <si>
    <t>Hito</t>
  </si>
  <si>
    <t>No agrega horas de ejecución; su trabajo está contenido en actividades previas</t>
  </si>
  <si>
    <t>Base de estimación: 712 horas del cronograma, distribuidas de forma equilibrada (142–143 h por integrante); tarifas derivadas de referencias salariales de mercado 2026; costos no laborales según supuestos del proyecto; contingencia del 8% calculada sobre el subtotal previo.</t>
  </si>
  <si>
    <t>PAQUETE DE TRABAJO / ENTREGABLE</t>
  </si>
  <si>
    <t>1.1 Formalización del Proyecto</t>
  </si>
  <si>
    <t>ACTIVIDAD</t>
  </si>
  <si>
    <t>COSTOS</t>
  </si>
  <si>
    <t>CÓDIGO</t>
  </si>
  <si>
    <t>DESCRIPCIÓN</t>
  </si>
  <si>
    <t>RECURSOS HUMANOS</t>
  </si>
  <si>
    <t>MAQUINARIA / EQUIPOS / INFRAESTRUCTURA</t>
  </si>
  <si>
    <t>CONSUMIBLES / SERVICIOS</t>
  </si>
  <si>
    <t>Nombre del Recurso</t>
  </si>
  <si>
    <t>Número de Horas</t>
  </si>
  <si>
    <t>Costo x Hora (S/)</t>
  </si>
  <si>
    <t>Costo Total</t>
  </si>
  <si>
    <t>Cantidad</t>
  </si>
  <si>
    <t>Costo x día (S/)</t>
  </si>
  <si>
    <t>Nro. de días</t>
  </si>
  <si>
    <t>Total</t>
  </si>
  <si>
    <t>Costo Unitario (S/)</t>
  </si>
  <si>
    <t>IMPORTE</t>
  </si>
  <si>
    <t>1.1.1</t>
  </si>
  <si>
    <t>Documentación Fundacional</t>
  </si>
  <si>
    <t>SUB TOTAL ACTIVIDAD</t>
  </si>
  <si>
    <t>TOTAL ACTIVIDAD</t>
  </si>
  <si>
    <t>SUB TOTAL PAQUETE</t>
  </si>
  <si>
    <t>TOTAL PAQUETE</t>
  </si>
  <si>
    <t>Base de costeo: horas del cronograma, responsables R/R-A de la Matriz RACI y tarifas referenciales indicadas en la hoja Supuestos.</t>
  </si>
  <si>
    <t>1.2 Planificación del Proyecto</t>
  </si>
  <si>
    <t>1.2.1</t>
  </si>
  <si>
    <t>Línea Base de Planificación</t>
  </si>
  <si>
    <t>1.2.2</t>
  </si>
  <si>
    <t>Gestión Organizacional</t>
  </si>
  <si>
    <t>Herramienta de gestión y colaboración</t>
  </si>
  <si>
    <t>1.2.3</t>
  </si>
  <si>
    <t>Gestión de Riesgos</t>
  </si>
  <si>
    <t>2.1 Especificación Funcional</t>
  </si>
  <si>
    <t>2.1.1</t>
  </si>
  <si>
    <t>Requerimientos del Sistema</t>
  </si>
  <si>
    <t>2.2 Modelamiento Funcional</t>
  </si>
  <si>
    <t>2.2.1</t>
  </si>
  <si>
    <t>Procesos de Negocio</t>
  </si>
  <si>
    <t>2.3 Diseño de Arquitectura</t>
  </si>
  <si>
    <t>2.3.1</t>
  </si>
  <si>
    <t>Arquitectura de Software</t>
  </si>
  <si>
    <t>2.4 Diseño de Datos</t>
  </si>
  <si>
    <t>2.4.1</t>
  </si>
  <si>
    <t>Modelo de Información</t>
  </si>
  <si>
    <t>2.5 Diseño UI/UX</t>
  </si>
  <si>
    <t>2.5.1</t>
  </si>
  <si>
    <t>Prototipo del Sistema</t>
  </si>
  <si>
    <t>Herramienta de prototipado UI/UX</t>
  </si>
  <si>
    <t>3.1 Control de Acceso a Torcly</t>
  </si>
  <si>
    <t>3.1.1</t>
  </si>
  <si>
    <t>Frontend de Seguridad</t>
  </si>
  <si>
    <t>3.1.2</t>
  </si>
  <si>
    <t>Backend de Seguridad</t>
  </si>
  <si>
    <t>3.1.3</t>
  </si>
  <si>
    <t>Administración de Usuarios</t>
  </si>
  <si>
    <t>4.1 Gestión de Clientes</t>
  </si>
  <si>
    <t>4.1.1</t>
  </si>
  <si>
    <t>Frontend de Clientes</t>
  </si>
  <si>
    <t>4.1.2</t>
  </si>
  <si>
    <t>Backend de Clientes</t>
  </si>
  <si>
    <t>4.2 Gestión de Vehículos</t>
  </si>
  <si>
    <t>4.2.1</t>
  </si>
  <si>
    <t>Frontend de Vehículos</t>
  </si>
  <si>
    <t>4.2.2</t>
  </si>
  <si>
    <t>Backend de Vehículos</t>
  </si>
  <si>
    <t>5.1 Catálogo de Productos</t>
  </si>
  <si>
    <t>5.1.1</t>
  </si>
  <si>
    <t>Frontend de Productos</t>
  </si>
  <si>
    <t>5.1.2</t>
  </si>
  <si>
    <t>Backend de Productos</t>
  </si>
  <si>
    <t>5.2.1</t>
  </si>
  <si>
    <t>Frontend de Inventario</t>
  </si>
  <si>
    <t>Lector de código de barras</t>
  </si>
  <si>
    <t>5.2.2</t>
  </si>
  <si>
    <t>Backend de Inventario</t>
  </si>
  <si>
    <t>6.1 Catálogo de Servicios</t>
  </si>
  <si>
    <t>6.1.1</t>
  </si>
  <si>
    <t>Frontend de Servicios</t>
  </si>
  <si>
    <t>6.1.2</t>
  </si>
  <si>
    <t>Backend de Servicios</t>
  </si>
  <si>
    <t>7.1 Agenda del Taller</t>
  </si>
  <si>
    <t>7.1.1</t>
  </si>
  <si>
    <t>Frontend de Citas</t>
  </si>
  <si>
    <t>7.1.2</t>
  </si>
  <si>
    <t>Backend de Citas</t>
  </si>
  <si>
    <t>8.1 Orden de Trabajo</t>
  </si>
  <si>
    <t>8.1.1</t>
  </si>
  <si>
    <t>Registro de Atención</t>
  </si>
  <si>
    <t>8.1.2</t>
  </si>
  <si>
    <t>Ejecución del Servicio</t>
  </si>
  <si>
    <t>8.1.3</t>
  </si>
  <si>
    <t>Finalización de Atención</t>
  </si>
  <si>
    <t>8.2 Seguimiento del Taller</t>
  </si>
  <si>
    <t>8.2.1</t>
  </si>
  <si>
    <t>Control de Estados</t>
  </si>
  <si>
    <t>9.1 Gestión de Ventas</t>
  </si>
  <si>
    <t>9.1.1</t>
  </si>
  <si>
    <t>Registro Comercial</t>
  </si>
  <si>
    <t>9.2 Gestión de Pagos</t>
  </si>
  <si>
    <t>9.2.1</t>
  </si>
  <si>
    <t>Registro de Pagos</t>
  </si>
  <si>
    <t>10.1 Consulta Centralizada</t>
  </si>
  <si>
    <t>10.1.1</t>
  </si>
  <si>
    <t>Panel Operativo</t>
  </si>
  <si>
    <t>11.1 Panel Analítico de Torcly</t>
  </si>
  <si>
    <t>11.1.1</t>
  </si>
  <si>
    <t>Preparación Analítica</t>
  </si>
  <si>
    <t>11.1.2</t>
  </si>
  <si>
    <t>Dashboard BI</t>
  </si>
  <si>
    <t>Herramienta / servicio BI</t>
  </si>
  <si>
    <t>12.1 Motor de Apoyo a Reposición</t>
  </si>
  <si>
    <t>12.1.1</t>
  </si>
  <si>
    <t>Preparación de Datos</t>
  </si>
  <si>
    <t>12.1.2</t>
  </si>
  <si>
    <t>Recomendaciones de Reposición</t>
  </si>
  <si>
    <t>Servicio de cómputo para IA</t>
  </si>
  <si>
    <t>13.1 Aseguramiento de Calidad</t>
  </si>
  <si>
    <t>13.1.1</t>
  </si>
  <si>
    <t>Pruebas del Sistema</t>
  </si>
  <si>
    <t>Recursos y servicios de pruebas</t>
  </si>
  <si>
    <t>13.2.1</t>
  </si>
  <si>
    <t>Entorno de Producción</t>
  </si>
  <si>
    <t>Infraestructura de hosting</t>
  </si>
  <si>
    <t>Configuración y despliegue</t>
  </si>
  <si>
    <t>13.3 Transferencia de Conocimiento</t>
  </si>
  <si>
    <t>13.3.1</t>
  </si>
  <si>
    <t>Documentación</t>
  </si>
  <si>
    <t>13.3.2</t>
  </si>
  <si>
    <t>Capacitación</t>
  </si>
  <si>
    <t>13.4 Cierre del Proyecto</t>
  </si>
  <si>
    <t>13.4.1</t>
  </si>
  <si>
    <t>Aceptación Final</t>
  </si>
  <si>
    <t>13.4.2</t>
  </si>
  <si>
    <t>Cierre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</si>
</sst>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;[Red]\(#,##0.00\);\-"/>
  </numFmts>
  <fonts count="9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color rgb="FF0000FF"/>
      <name val="Carlito"/>
    </font>
    <font>
      <i/>
      <sz val="11"/>
      <color rgb="FF1F1F1F"/>
      <name val="Carlito"/>
    </font>
    <font>
      <b/>
      <sz val="15"/>
      <color rgb="FFFFFFFF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79646"/>
      </patternFill>
    </fill>
    <fill>
      <patternFill patternType="solid">
        <fgColor rgb="FFE7E6E6"/>
      </patternFill>
    </fill>
    <fill>
      <patternFill patternType="solid">
        <fgColor rgb="FFA6A6A6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 style="thin">
        <color rgb="FF222222"/>
      </left>
      <right/>
      <top style="thin">
        <color rgb="FF222222"/>
      </top>
      <bottom/>
      <diagonal/>
    </border>
    <border>
      <left/>
      <right/>
      <top style="thin">
        <color rgb="FF222222"/>
      </top>
      <bottom/>
      <diagonal/>
    </border>
    <border>
      <left/>
      <right style="thin">
        <color rgb="FF222222"/>
      </right>
      <top style="thin">
        <color rgb="FF222222"/>
      </top>
      <bottom/>
      <diagonal/>
    </border>
    <border>
      <left style="thin">
        <color rgb="FF222222"/>
      </left>
      <right/>
      <top/>
      <bottom/>
      <diagonal/>
    </border>
    <border>
      <left/>
      <right style="thin">
        <color rgb="FF222222"/>
      </right>
      <top/>
      <bottom/>
      <diagonal/>
    </border>
    <border>
      <left style="thin">
        <color rgb="FF222222"/>
      </left>
      <right/>
      <top/>
      <bottom style="thin">
        <color rgb="FF222222"/>
      </bottom>
      <diagonal/>
    </border>
    <border>
      <left/>
      <right/>
      <top/>
      <bottom style="thin">
        <color rgb="FF222222"/>
      </bottom>
      <diagonal/>
    </border>
    <border>
      <left/>
      <right style="thin">
        <color rgb="FF222222"/>
      </right>
      <top/>
      <bottom style="thin">
        <color rgb="FF222222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4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2" fillId="3" borderId="4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horizontal="center" wrapText="1"/>
    </xf>
    <xf numFmtId="0" fontId="2" fillId="3" borderId="2" xfId="0" applyNumberFormat="1" applyFont="1" applyFill="1" applyBorder="1" applyAlignment="1">
      <alignment horizontal="center" wrapText="1"/>
    </xf>
    <xf numFmtId="0" fontId="2" fillId="3" borderId="3" xfId="0" applyNumberFormat="1" applyFont="1" applyFill="1" applyBorder="1" applyAlignment="1">
      <alignment horizontal="center" wrapText="1"/>
    </xf>
    <xf numFmtId="2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164" fontId="0" fillId="0" borderId="5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2" fontId="0" fillId="0" borderId="7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164" fontId="0" fillId="0" borderId="8" xfId="0" applyNumberFormat="1" applyFont="1" applyFill="1" applyBorder="1" applyAlignment="1">
      <alignment wrapText="1"/>
    </xf>
    <xf numFmtId="0" fontId="6" fillId="4" borderId="2" xfId="0" applyNumberFormat="1" applyFont="1" applyFill="1" applyBorder="1" applyAlignment="1">
      <alignment wrapText="1"/>
    </xf>
    <xf numFmtId="0" fontId="6" fillId="4" borderId="3" xfId="0" applyNumberFormat="1" applyFont="1" applyFill="1" applyBorder="1" applyAlignment="1">
      <alignment wrapText="1"/>
    </xf>
    <xf numFmtId="0" fontId="6" fillId="4" borderId="0" xfId="0" applyNumberFormat="1" applyFont="1" applyFill="1" applyBorder="1" applyAlignment="1">
      <alignment wrapText="1"/>
    </xf>
    <xf numFmtId="0" fontId="6" fillId="4" borderId="0" xfId="0" applyNumberFormat="1" applyFont="1" applyFill="1" applyBorder="1" applyAlignment="1">
      <alignment wrapText="1"/>
    </xf>
    <xf numFmtId="0" fontId="6" fillId="4" borderId="5" xfId="0" applyNumberFormat="1" applyFont="1" applyFill="1" applyBorder="1" applyAlignment="1">
      <alignment wrapText="1"/>
    </xf>
    <xf numFmtId="0" fontId="6" fillId="5" borderId="7" xfId="0" applyNumberFormat="1" applyFont="1" applyFill="1" applyBorder="1" applyAlignment="1">
      <alignment wrapText="1"/>
    </xf>
    <xf numFmtId="164" fontId="6" fillId="5" borderId="8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2" fillId="7" borderId="0" xfId="0" applyNumberFormat="1" applyFont="1" applyFill="1" applyBorder="1" applyAlignment="1">
      <alignment horizontal="center" vertical="center" wrapText="1"/>
    </xf>
    <xf numFmtId="0" fontId="2" fillId="7" borderId="5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 applyAlignment="1">
      <alignment wrapText="1"/>
    </xf>
    <xf numFmtId="165" fontId="3" fillId="0" borderId="0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6" fillId="6" borderId="0" xfId="0" applyNumberFormat="1" applyFont="1" applyFill="1" applyBorder="1" applyAlignment="1">
      <alignment wrapText="1"/>
    </xf>
    <xf numFmtId="2" fontId="6" fillId="6" borderId="0" xfId="0" applyNumberFormat="1" applyFont="1" applyFill="1" applyBorder="1" applyAlignment="1">
      <alignment wrapText="1"/>
    </xf>
    <xf numFmtId="0" fontId="6" fillId="6" borderId="0" xfId="0" applyNumberFormat="1" applyFont="1" applyFill="1" applyBorder="1" applyAlignment="1">
      <alignment wrapText="1"/>
    </xf>
    <xf numFmtId="165" fontId="6" fillId="6" borderId="0" xfId="0" applyNumberFormat="1" applyFont="1" applyFill="1" applyBorder="1" applyAlignment="1">
      <alignment wrapText="1"/>
    </xf>
    <xf numFmtId="2" fontId="6" fillId="4" borderId="0" xfId="0" applyNumberFormat="1" applyFont="1" applyFill="1" applyBorder="1" applyAlignment="1">
      <alignment wrapText="1"/>
    </xf>
    <xf numFmtId="165" fontId="6" fillId="4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165" fontId="6" fillId="4" borderId="2" xfId="0" applyNumberFormat="1" applyFont="1" applyFill="1" applyBorder="1" applyAlignment="1">
      <alignment wrapText="1"/>
    </xf>
    <xf numFmtId="165" fontId="6" fillId="5" borderId="7" xfId="0" applyNumberFormat="1" applyFont="1" applyFill="1" applyBorder="1" applyAlignment="1">
      <alignment wrapText="1"/>
    </xf>
    <xf numFmtId="165" fontId="2" fillId="3" borderId="5" xfId="0" applyNumberFormat="1" applyFont="1" applyFill="1" applyBorder="1" applyAlignment="1">
      <alignment wrapText="1"/>
    </xf>
    <xf numFmtId="165" fontId="0" fillId="0" borderId="0" xfId="0" applyNumberFormat="1" applyFont="1" applyFill="1" applyBorder="1"/>
    <xf numFmtId="165" fontId="7" fillId="0" borderId="0" xfId="0" applyNumberFormat="1" applyFont="1" applyFill="1" applyBorder="1" applyAlignment="1">
      <alignment wrapText="1"/>
    </xf>
    <xf numFmtId="165" fontId="7" fillId="0" borderId="5" xfId="0" applyNumberFormat="1" applyFont="1" applyFill="1" applyBorder="1" applyAlignment="1">
      <alignment wrapText="1"/>
    </xf>
    <xf numFmtId="165" fontId="6" fillId="6" borderId="5" xfId="0" applyNumberFormat="1" applyFont="1" applyFill="1" applyBorder="1" applyAlignment="1">
      <alignment wrapText="1"/>
    </xf>
    <xf numFmtId="165" fontId="6" fillId="4" borderId="5" xfId="0" applyNumberFormat="1" applyFont="1" applyFill="1" applyBorder="1" applyAlignment="1">
      <alignment wrapText="1"/>
    </xf>
    <xf numFmtId="165" fontId="6" fillId="4" borderId="3" xfId="0" applyNumberFormat="1" applyFont="1" applyFill="1" applyBorder="1" applyAlignment="1">
      <alignment wrapText="1"/>
    </xf>
    <xf numFmtId="165" fontId="6" fillId="5" borderId="8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vertical="center"/>
    </xf>
    <xf numFmtId="0" fontId="2" fillId="8" borderId="4" xfId="0" applyNumberFormat="1" applyFont="1" applyFill="1" applyBorder="1" applyAlignment="1">
      <alignment horizontal="center" vertical="center" wrapText="1"/>
    </xf>
    <xf numFmtId="0" fontId="2" fillId="8" borderId="0" xfId="0" applyNumberFormat="1" applyFont="1" applyFill="1" applyBorder="1" applyAlignment="1">
      <alignment horizontal="center" vertical="center" wrapText="1"/>
    </xf>
    <xf numFmtId="0" fontId="2" fillId="8" borderId="0" xfId="0" applyNumberFormat="1" applyFont="1" applyFill="1" applyBorder="1" applyAlignment="1">
      <alignment vertical="center" wrapText="1"/>
    </xf>
    <xf numFmtId="0" fontId="2" fillId="8" borderId="5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5" xfId="0" applyNumberFormat="1" applyFont="1" applyFill="1" applyBorder="1" applyAlignment="1">
      <alignment vertical="center" wrapText="1"/>
    </xf>
    <xf numFmtId="0" fontId="2" fillId="3" borderId="4" xfId="0" applyNumberFormat="1" applyFont="1" applyFill="1" applyBorder="1" applyAlignment="1">
      <alignment vertical="center" wrapText="1"/>
    </xf>
    <xf numFmtId="0" fontId="2" fillId="3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2" fillId="10" borderId="4" xfId="0" applyNumberFormat="1" applyFont="1" applyFill="1" applyBorder="1" applyAlignment="1">
      <alignment horizontal="center" vertical="center" wrapText="1"/>
    </xf>
    <xf numFmtId="0" fontId="2" fillId="10" borderId="0" xfId="0" applyNumberFormat="1" applyFont="1" applyFill="1" applyBorder="1" applyAlignment="1">
      <alignment horizontal="center" vertical="center" wrapText="1"/>
    </xf>
    <xf numFmtId="9" fontId="3" fillId="0" borderId="0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 applyAlignment="1">
      <alignment wrapText="1"/>
    </xf>
    <xf numFmtId="165" fontId="8" fillId="10" borderId="0" xfId="0" applyNumberFormat="1" applyFont="1" applyFill="1" applyBorder="1" applyAlignment="1">
      <alignment wrapText="1"/>
    </xf>
    <xf numFmtId="0" fontId="8" fillId="10" borderId="0" xfId="0" applyNumberFormat="1" applyFont="1" applyFill="1" applyBorder="1" applyAlignment="1">
      <alignment wrapText="1"/>
    </xf>
    <xf numFmtId="0" fontId="5" fillId="2" borderId="0" xfId="0" applyNumberFormat="1" applyFont="1" applyFill="1" applyBorder="1" applyAlignment="1">
      <alignment horizontal="center" wrapText="1"/>
    </xf>
    <xf numFmtId="0" fontId="6" fillId="4" borderId="1" xfId="0" applyNumberFormat="1" applyFont="1" applyFill="1" applyBorder="1" applyAlignment="1">
      <alignment wrapText="1"/>
    </xf>
    <xf numFmtId="0" fontId="6" fillId="4" borderId="2" xfId="0" applyNumberFormat="1" applyFont="1" applyFill="1" applyBorder="1" applyAlignment="1">
      <alignment wrapText="1"/>
    </xf>
    <xf numFmtId="0" fontId="6" fillId="4" borderId="4" xfId="0" applyNumberFormat="1" applyFont="1" applyFill="1" applyBorder="1" applyAlignment="1">
      <alignment wrapText="1"/>
    </xf>
    <xf numFmtId="0" fontId="6" fillId="4" borderId="0" xfId="0" applyNumberFormat="1" applyFont="1" applyFill="1" applyBorder="1" applyAlignment="1">
      <alignment wrapText="1"/>
    </xf>
    <xf numFmtId="0" fontId="6" fillId="5" borderId="6" xfId="0" applyNumberFormat="1" applyFont="1" applyFill="1" applyBorder="1" applyAlignment="1">
      <alignment wrapText="1"/>
    </xf>
    <xf numFmtId="0" fontId="6" fillId="5" borderId="7" xfId="0" applyNumberFormat="1" applyFont="1" applyFill="1" applyBorder="1" applyAlignment="1">
      <alignment wrapText="1"/>
    </xf>
    <xf numFmtId="0" fontId="2" fillId="2" borderId="1" xfId="0" applyNumberFormat="1" applyFont="1" applyFill="1" applyBorder="1" applyAlignment="1">
      <alignment horizontal="center" wrapText="1"/>
    </xf>
    <xf numFmtId="0" fontId="2" fillId="2" borderId="2" xfId="0" applyNumberFormat="1" applyFont="1" applyFill="1" applyBorder="1" applyAlignment="1">
      <alignment horizontal="center" wrapText="1"/>
    </xf>
    <xf numFmtId="165" fontId="2" fillId="2" borderId="3" xfId="0" applyNumberFormat="1" applyFont="1" applyFill="1" applyBorder="1" applyAlignment="1">
      <alignment horizontal="center" wrapText="1"/>
    </xf>
    <xf numFmtId="0" fontId="0" fillId="0" borderId="6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165" fontId="2" fillId="8" borderId="0" xfId="0" applyNumberFormat="1" applyFont="1" applyFill="1" applyBorder="1" applyAlignment="1">
      <alignment horizontal="center" wrapText="1"/>
    </xf>
    <xf numFmtId="0" fontId="2" fillId="8" borderId="0" xfId="0" applyNumberFormat="1" applyFont="1" applyFill="1" applyBorder="1" applyAlignment="1">
      <alignment horizont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vertical="center" wrapText="1"/>
    </xf>
    <xf numFmtId="0" fontId="4" fillId="4" borderId="7" xfId="0" applyNumberFormat="1" applyFont="1" applyFill="1" applyBorder="1" applyAlignment="1">
      <alignment vertical="center" wrapText="1"/>
    </xf>
    <xf numFmtId="0" fontId="4" fillId="4" borderId="8" xfId="0" applyNumberFormat="1" applyFont="1" applyFill="1" applyBorder="1" applyAlignment="1">
      <alignment vertical="center" wrapText="1"/>
    </xf>
    <xf numFmtId="0" fontId="0" fillId="9" borderId="4" xfId="0" applyNumberFormat="1" applyFont="1" applyFill="1" applyBorder="1" applyAlignment="1">
      <alignment vertical="center" wrapText="1"/>
    </xf>
    <xf numFmtId="0" fontId="0" fillId="9" borderId="0" xfId="0" applyNumberFormat="1" applyFont="1" applyFill="1" applyBorder="1" applyAlignment="1">
      <alignment vertical="center" wrapText="1"/>
    </xf>
    <xf numFmtId="0" fontId="0" fillId="9" borderId="5" xfId="0" applyNumberFormat="1" applyFont="1" applyFill="1" applyBorder="1" applyAlignment="1">
      <alignment vertical="center" wrapText="1"/>
    </xf>
    <xf numFmtId="0" fontId="2" fillId="5" borderId="0" xfId="0" applyNumberFormat="1" applyFont="1" applyFill="1" applyBorder="1" applyAlignment="1">
      <alignment horizontal="center" wrapText="1"/>
    </xf>
    <xf numFmtId="0" fontId="6" fillId="6" borderId="0" xfId="0" applyNumberFormat="1" applyFont="1" applyFill="1" applyBorder="1" applyAlignment="1">
      <alignment horizontal="center" wrapText="1"/>
    </xf>
    <xf numFmtId="0" fontId="2" fillId="3" borderId="0" xfId="0" applyNumberFormat="1" applyFont="1" applyFill="1" applyBorder="1" applyAlignment="1">
      <alignment horizontal="center" wrapText="1"/>
    </xf>
    <xf numFmtId="0" fontId="2" fillId="7" borderId="0" xfId="0" applyNumberFormat="1" applyFont="1" applyFill="1" applyBorder="1" applyAlignment="1">
      <alignment horizontal="center" wrapText="1"/>
    </xf>
    <xf numFmtId="0" fontId="2" fillId="7" borderId="2" xfId="0" applyNumberFormat="1" applyFont="1" applyFill="1" applyBorder="1" applyAlignment="1">
      <alignment horizontal="center" vertical="center" wrapText="1"/>
    </xf>
    <xf numFmtId="0" fontId="2" fillId="7" borderId="3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wrapText="1"/>
    </xf>
    <xf numFmtId="0" fontId="6" fillId="0" borderId="2" xfId="0" applyNumberFormat="1" applyFont="1" applyFill="1" applyBorder="1" applyAlignment="1">
      <alignment wrapText="1"/>
    </xf>
    <xf numFmtId="0" fontId="6" fillId="0" borderId="6" xfId="0" applyNumberFormat="1" applyFont="1" applyFill="1" applyBorder="1" applyAlignment="1">
      <alignment wrapText="1"/>
    </xf>
    <xf numFmtId="0" fontId="6" fillId="0" borderId="7" xfId="0" applyNumberFormat="1" applyFont="1" applyFill="1" applyBorder="1" applyAlignment="1">
      <alignment wrapText="1"/>
    </xf>
    <xf numFmtId="0" fontId="4" fillId="4" borderId="0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4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PE"/>
              <a:t>Distribución del presupuesto referencial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Monto</c:v>
          </c:tx>
          <c:invertIfNegative val="1"/>
          <c:cat>
            <c:strRef>
              <c:f>Resumen!$J$4:$J$9</c:f>
              <c:strCache>
                <c:ptCount val="6"/>
                <c:pt idx="0">
                  <c:v>Recursos humanos</c:v>
                </c:pt>
                <c:pt idx="1">
                  <c:v>Infraestructura tecnológica</c:v>
                </c:pt>
                <c:pt idx="2">
                  <c:v>Hardware y equipamiento</c:v>
                </c:pt>
                <c:pt idx="3">
                  <c:v>Software y herramientas</c:v>
                </c:pt>
                <c:pt idx="4">
                  <c:v>Pruebas e implementación</c:v>
                </c:pt>
                <c:pt idx="5">
                  <c:v>Contingencia</c:v>
                </c:pt>
              </c:strCache>
            </c:strRef>
          </c:cat>
          <c:val>
            <c:numRef>
              <c:f>Resumen!$K$4:$K$9</c:f>
              <c:numCache>
                <c:formatCode>General</c:formatCode>
                <c:ptCount val="6"/>
                <c:pt idx="0">
                  <c:v>17158.3</c:v>
                </c:pt>
                <c:pt idx="1">
                  <c:v>1200</c:v>
                </c:pt>
                <c:pt idx="2">
                  <c:v>1000</c:v>
                </c:pt>
                <c:pt idx="3">
                  <c:v>800</c:v>
                </c:pt>
                <c:pt idx="4">
                  <c:v>1000</c:v>
                </c:pt>
                <c:pt idx="5">
                  <c:v>1692.664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9-4F5E-8380-64FDCB391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10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zoomScale="83" workbookViewId="0">
      <selection sqref="A1:H1"/>
    </sheetView>
  </sheetViews>
  <sheetFormatPr baseColWidth="10" defaultColWidth="8.796875" defaultRowHeight="13.8"/>
  <cols>
    <col min="1" max="1" width="12" customWidth="1"/>
    <col min="2" max="2" width="34" customWidth="1"/>
    <col min="3" max="8" width="16" customWidth="1"/>
    <col min="10" max="10" width="28" customWidth="1"/>
    <col min="11" max="11" width="16" customWidth="1"/>
  </cols>
  <sheetData>
    <row r="1" spans="1:16" ht="19.2">
      <c r="A1" s="73" t="s">
        <v>0</v>
      </c>
      <c r="B1" s="73"/>
      <c r="C1" s="73"/>
      <c r="D1" s="73"/>
      <c r="E1" s="73"/>
      <c r="F1" s="73"/>
      <c r="G1" s="73"/>
      <c r="H1" s="73"/>
      <c r="I1" s="2"/>
      <c r="J1" s="2"/>
      <c r="K1" s="2"/>
      <c r="L1" s="2"/>
      <c r="M1" s="2"/>
      <c r="N1" s="2"/>
      <c r="O1" s="2"/>
      <c r="P1" s="2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41.4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2"/>
      <c r="J3" s="5" t="s">
        <v>9</v>
      </c>
      <c r="K3" s="5" t="s">
        <v>10</v>
      </c>
      <c r="L3" s="2"/>
      <c r="M3" s="2"/>
      <c r="N3" s="2"/>
      <c r="O3" s="2"/>
      <c r="P3" s="2"/>
    </row>
    <row r="4" spans="1:16">
      <c r="A4" s="1" t="s">
        <v>11</v>
      </c>
      <c r="B4" s="2" t="s">
        <v>12</v>
      </c>
      <c r="C4" s="10">
        <f>SUM('1.1 Formalización del Proyecto'!E6:E10,'1.1 Formalización del Proyecto'!E13:E17,'1.1 Formalización del Proyecto'!E20:E24)</f>
        <v>8</v>
      </c>
      <c r="D4" s="11">
        <f>'1.1 Formalización del Proyecto'!D27</f>
        <v>224.2</v>
      </c>
      <c r="E4" s="11">
        <f>'1.1 Formalización del Proyecto'!H27</f>
        <v>0</v>
      </c>
      <c r="F4" s="11">
        <f>'1.1 Formalización del Proyecto'!M27</f>
        <v>0</v>
      </c>
      <c r="G4" s="11">
        <f>'1.1 Formalización del Proyecto'!P28</f>
        <v>224.2</v>
      </c>
      <c r="H4" s="12">
        <f t="shared" ref="H4:H28" si="0">G4/$G$32</f>
        <v>9.8114022673179129E-3</v>
      </c>
      <c r="I4" s="2"/>
      <c r="J4" s="2" t="s">
        <v>13</v>
      </c>
      <c r="K4" s="11">
        <f>D42</f>
        <v>17158.3</v>
      </c>
      <c r="L4" s="2"/>
      <c r="M4" s="2"/>
      <c r="N4" s="2"/>
      <c r="O4" s="2"/>
      <c r="P4" s="2"/>
    </row>
    <row r="5" spans="1:16">
      <c r="A5" s="1" t="s">
        <v>14</v>
      </c>
      <c r="B5" s="2" t="s">
        <v>15</v>
      </c>
      <c r="C5" s="10">
        <f>SUM('1.2 Planificación del Proyecto'!E6:E10,'1.2 Planificación del Proyecto'!E13:E17,'1.2 Planificación del Proyecto'!E20:E24)</f>
        <v>36</v>
      </c>
      <c r="D5" s="11">
        <f>'1.2 Planificación del Proyecto'!D27</f>
        <v>1008.8999999999999</v>
      </c>
      <c r="E5" s="11">
        <f>'1.2 Planificación del Proyecto'!H27</f>
        <v>0</v>
      </c>
      <c r="F5" s="11">
        <f>'1.2 Planificación del Proyecto'!M27</f>
        <v>200</v>
      </c>
      <c r="G5" s="11">
        <f>'1.2 Planificación del Proyecto'!P28</f>
        <v>1208.8999999999999</v>
      </c>
      <c r="H5" s="12">
        <f t="shared" si="0"/>
        <v>5.2903676186265049E-2</v>
      </c>
      <c r="I5" s="2"/>
      <c r="J5" s="2" t="s">
        <v>16</v>
      </c>
      <c r="K5" s="11">
        <v>1200</v>
      </c>
      <c r="L5" s="2"/>
      <c r="M5" s="2"/>
      <c r="N5" s="2"/>
      <c r="O5" s="2"/>
      <c r="P5" s="2"/>
    </row>
    <row r="6" spans="1:16">
      <c r="A6" s="1" t="s">
        <v>17</v>
      </c>
      <c r="B6" s="2" t="s">
        <v>18</v>
      </c>
      <c r="C6" s="10">
        <f>SUM('2.1 Especificación Funcional'!E6:E10,'2.1 Especificación Funcional'!E13:E17,'2.1 Especificación Funcional'!E20:E24)</f>
        <v>12</v>
      </c>
      <c r="D6" s="11">
        <f>'2.1 Especificación Funcional'!D27</f>
        <v>297.60000000000002</v>
      </c>
      <c r="E6" s="11">
        <f>'2.1 Especificación Funcional'!H27</f>
        <v>0</v>
      </c>
      <c r="F6" s="11">
        <f>'2.1 Especificación Funcional'!M27</f>
        <v>0</v>
      </c>
      <c r="G6" s="11">
        <f>'2.1 Especificación Funcional'!P28</f>
        <v>297.60000000000002</v>
      </c>
      <c r="H6" s="12">
        <f t="shared" si="0"/>
        <v>1.3023520583201656E-2</v>
      </c>
      <c r="I6" s="2"/>
      <c r="J6" s="2" t="s">
        <v>19</v>
      </c>
      <c r="K6" s="11">
        <v>1000</v>
      </c>
      <c r="L6" s="2"/>
      <c r="M6" s="2"/>
      <c r="N6" s="2"/>
      <c r="O6" s="2"/>
      <c r="P6" s="2"/>
    </row>
    <row r="7" spans="1:16">
      <c r="A7" s="1" t="s">
        <v>20</v>
      </c>
      <c r="B7" s="2" t="s">
        <v>21</v>
      </c>
      <c r="C7" s="10">
        <f>SUM('2.2 Modelamiento Funcional'!E6:E10,'2.2 Modelamiento Funcional'!E13:E17,'2.2 Modelamiento Funcional'!E20:E24)</f>
        <v>24</v>
      </c>
      <c r="D7" s="11">
        <f>'2.2 Modelamiento Funcional'!D27</f>
        <v>608.1</v>
      </c>
      <c r="E7" s="11">
        <f>'2.2 Modelamiento Funcional'!H27</f>
        <v>0</v>
      </c>
      <c r="F7" s="11">
        <f>'2.2 Modelamiento Funcional'!M27</f>
        <v>0</v>
      </c>
      <c r="G7" s="11">
        <f>'2.2 Modelamiento Funcional'!P28</f>
        <v>608.1</v>
      </c>
      <c r="H7" s="12">
        <f t="shared" si="0"/>
        <v>2.661156877232838E-2</v>
      </c>
      <c r="I7" s="2"/>
      <c r="J7" s="2" t="s">
        <v>22</v>
      </c>
      <c r="K7" s="11">
        <v>800</v>
      </c>
      <c r="L7" s="2"/>
      <c r="M7" s="2"/>
      <c r="N7" s="2"/>
      <c r="O7" s="2"/>
      <c r="P7" s="2"/>
    </row>
    <row r="8" spans="1:16">
      <c r="A8" s="1" t="s">
        <v>23</v>
      </c>
      <c r="B8" s="2" t="s">
        <v>24</v>
      </c>
      <c r="C8" s="10">
        <f>SUM('2.3 Diseño de Arquitectura'!E6:E10,'2.3 Diseño de Arquitectura'!E13:E17,'2.3 Diseño de Arquitectura'!E20:E24)</f>
        <v>32</v>
      </c>
      <c r="D8" s="11">
        <f>'2.3 Diseño de Arquitectura'!D27</f>
        <v>741.2</v>
      </c>
      <c r="E8" s="11">
        <f>'2.3 Diseño de Arquitectura'!H27</f>
        <v>0</v>
      </c>
      <c r="F8" s="11">
        <f>'2.3 Diseño de Arquitectura'!M27</f>
        <v>0</v>
      </c>
      <c r="G8" s="11">
        <f>'2.3 Diseño de Arquitectura'!P28</f>
        <v>741.2</v>
      </c>
      <c r="H8" s="12">
        <f t="shared" si="0"/>
        <v>3.2436268334237454E-2</v>
      </c>
      <c r="I8" s="2"/>
      <c r="J8" s="2" t="s">
        <v>25</v>
      </c>
      <c r="K8" s="11">
        <v>1000</v>
      </c>
      <c r="L8" s="2"/>
      <c r="M8" s="2"/>
      <c r="N8" s="2"/>
      <c r="O8" s="2"/>
      <c r="P8" s="2"/>
    </row>
    <row r="9" spans="1:16">
      <c r="A9" s="1" t="s">
        <v>26</v>
      </c>
      <c r="B9" s="2" t="s">
        <v>27</v>
      </c>
      <c r="C9" s="10">
        <f>SUM('2.4 Diseño de Datos'!E6:E10,'2.4 Diseño de Datos'!E13:E17,'2.4 Diseño de Datos'!E20:E24)</f>
        <v>28</v>
      </c>
      <c r="D9" s="11">
        <f>'2.4 Diseño de Datos'!D27</f>
        <v>686.9</v>
      </c>
      <c r="E9" s="11">
        <f>'2.4 Diseño de Datos'!H27</f>
        <v>0</v>
      </c>
      <c r="F9" s="11">
        <f>'2.4 Diseño de Datos'!M27</f>
        <v>0</v>
      </c>
      <c r="G9" s="11">
        <f>'2.4 Diseño de Datos'!P28</f>
        <v>686.9</v>
      </c>
      <c r="H9" s="12">
        <f t="shared" si="0"/>
        <v>3.0060000969762149E-2</v>
      </c>
      <c r="I9" s="2"/>
      <c r="J9" s="2" t="s">
        <v>28</v>
      </c>
      <c r="K9" s="11">
        <f>G31</f>
        <v>1692.664</v>
      </c>
      <c r="L9" s="2"/>
      <c r="M9" s="2"/>
      <c r="N9" s="2"/>
      <c r="O9" s="2"/>
      <c r="P9" s="2"/>
    </row>
    <row r="10" spans="1:16">
      <c r="A10" s="1" t="s">
        <v>29</v>
      </c>
      <c r="B10" s="2" t="s">
        <v>30</v>
      </c>
      <c r="C10" s="10">
        <f>SUM('2.5 Diseño UI-UX'!E6:E10,'2.5 Diseño UI-UX'!E13:E17,'2.5 Diseño UI-UX'!E20:E24)</f>
        <v>20</v>
      </c>
      <c r="D10" s="11">
        <f>'2.5 Diseño UI-UX'!D27</f>
        <v>449.8</v>
      </c>
      <c r="E10" s="11">
        <f>'2.5 Diseño UI-UX'!H27</f>
        <v>0</v>
      </c>
      <c r="F10" s="11">
        <f>'2.5 Diseño UI-UX'!M27</f>
        <v>200</v>
      </c>
      <c r="G10" s="11">
        <f>'2.5 Diseño UI-UX'!P28</f>
        <v>649.79999999999995</v>
      </c>
      <c r="H10" s="12">
        <f t="shared" si="0"/>
        <v>2.8436437079853608E-2</v>
      </c>
      <c r="I10" s="2"/>
      <c r="J10" s="2"/>
      <c r="K10" s="2"/>
      <c r="L10" s="2"/>
      <c r="M10" s="2"/>
      <c r="N10" s="2"/>
      <c r="O10" s="2"/>
      <c r="P10" s="2"/>
    </row>
    <row r="11" spans="1:16">
      <c r="A11" s="1" t="s">
        <v>31</v>
      </c>
      <c r="B11" s="2" t="s">
        <v>32</v>
      </c>
      <c r="C11" s="10">
        <f>SUM('3.1 Control de Acceso a Torcly'!E6:E10,'3.1 Control de Acceso a Torcly'!E13:E17,'3.1 Control de Acceso a Torcly'!E20:E24)</f>
        <v>52</v>
      </c>
      <c r="D11" s="11">
        <f>'3.1 Control de Acceso a Torcly'!D27</f>
        <v>1186.7</v>
      </c>
      <c r="E11" s="11">
        <f>'3.1 Control de Acceso a Torcly'!H27</f>
        <v>0</v>
      </c>
      <c r="F11" s="11">
        <f>'3.1 Control de Acceso a Torcly'!M27</f>
        <v>0</v>
      </c>
      <c r="G11" s="11">
        <f>'3.1 Control de Acceso a Torcly'!P28</f>
        <v>1186.7</v>
      </c>
      <c r="H11" s="12">
        <f t="shared" si="0"/>
        <v>5.1932163562114927E-2</v>
      </c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33</v>
      </c>
      <c r="B12" s="2" t="s">
        <v>34</v>
      </c>
      <c r="C12" s="10">
        <f>SUM('4.1 Gestión de Clientes'!E6:E10,'4.1 Gestión de Clientes'!E13:E17,'4.1 Gestión de Clientes'!E20:E24)</f>
        <v>24</v>
      </c>
      <c r="D12" s="11">
        <f>'4.1 Gestión de Clientes'!D27</f>
        <v>555.15</v>
      </c>
      <c r="E12" s="11">
        <f>'4.1 Gestión de Clientes'!H27</f>
        <v>0</v>
      </c>
      <c r="F12" s="11">
        <f>'4.1 Gestión de Clientes'!M27</f>
        <v>0</v>
      </c>
      <c r="G12" s="11">
        <f>'4.1 Gestión de Clientes'!P28</f>
        <v>555.15</v>
      </c>
      <c r="H12" s="12">
        <f t="shared" si="0"/>
        <v>2.4294379878240586E-2</v>
      </c>
      <c r="I12" s="2"/>
      <c r="J12" s="2"/>
      <c r="K12" s="2"/>
      <c r="L12" s="2"/>
      <c r="M12" s="2"/>
      <c r="N12" s="2"/>
      <c r="O12" s="2"/>
      <c r="P12" s="2"/>
    </row>
    <row r="13" spans="1:16">
      <c r="A13" s="1" t="s">
        <v>35</v>
      </c>
      <c r="B13" s="2" t="s">
        <v>36</v>
      </c>
      <c r="C13" s="10">
        <f>SUM('4.2 Gestión de Vehículos'!E6:E10,'4.2 Gestión de Vehículos'!E13:E17,'4.2 Gestión de Vehículos'!E20:E24)</f>
        <v>24</v>
      </c>
      <c r="D13" s="11">
        <f>'4.2 Gestión de Vehículos'!D27</f>
        <v>543.45000000000005</v>
      </c>
      <c r="E13" s="11">
        <f>'4.2 Gestión de Vehículos'!H27</f>
        <v>0</v>
      </c>
      <c r="F13" s="11">
        <f>'4.2 Gestión de Vehículos'!M27</f>
        <v>0</v>
      </c>
      <c r="G13" s="11">
        <f>'4.2 Gestión de Vehículos'!P28</f>
        <v>543.45000000000005</v>
      </c>
      <c r="H13" s="12">
        <f t="shared" si="0"/>
        <v>2.3782366468215521E-2</v>
      </c>
      <c r="I13" s="2"/>
      <c r="J13" s="2"/>
      <c r="K13" s="2"/>
      <c r="L13" s="2"/>
      <c r="M13" s="2"/>
      <c r="N13" s="2"/>
      <c r="O13" s="2"/>
      <c r="P13" s="2"/>
    </row>
    <row r="14" spans="1:16">
      <c r="A14" s="1" t="s">
        <v>37</v>
      </c>
      <c r="B14" s="2" t="s">
        <v>38</v>
      </c>
      <c r="C14" s="10">
        <f>SUM('5.1 Catálogo de Productos'!E6:E10,'5.1 Catálogo de Productos'!E13:E17,'5.1 Catálogo de Productos'!E20:E24)</f>
        <v>24</v>
      </c>
      <c r="D14" s="11">
        <f>'5.1 Catálogo de Productos'!D27</f>
        <v>591.1</v>
      </c>
      <c r="E14" s="11">
        <f>'5.1 Catálogo de Productos'!H27</f>
        <v>0</v>
      </c>
      <c r="F14" s="11">
        <f>'5.1 Catálogo de Productos'!M27</f>
        <v>0</v>
      </c>
      <c r="G14" s="11">
        <f>'5.1 Catálogo de Productos'!P28</f>
        <v>591.1</v>
      </c>
      <c r="H14" s="12">
        <f t="shared" si="0"/>
        <v>2.5867617663744954E-2</v>
      </c>
      <c r="I14" s="2"/>
      <c r="J14" s="2"/>
      <c r="K14" s="2"/>
      <c r="L14" s="2"/>
      <c r="M14" s="2"/>
      <c r="N14" s="2"/>
      <c r="O14" s="2"/>
      <c r="P14" s="2"/>
    </row>
    <row r="15" spans="1:16">
      <c r="A15" s="1" t="s">
        <v>39</v>
      </c>
      <c r="B15" s="2" t="s">
        <v>40</v>
      </c>
      <c r="C15" s="10">
        <f>SUM('5.2 Control de Inventario'!E6:E10,'5.2 Control de Inventario'!E13:E17,'5.2 Control de Inventario'!E20:E24)</f>
        <v>40</v>
      </c>
      <c r="D15" s="11">
        <f>'5.2 Control de Inventario'!D27</f>
        <v>990.6</v>
      </c>
      <c r="E15" s="11">
        <f>'5.2 Control de Inventario'!H27</f>
        <v>1000</v>
      </c>
      <c r="F15" s="11">
        <f>'5.2 Control de Inventario'!M27</f>
        <v>0</v>
      </c>
      <c r="G15" s="11">
        <f>'5.2 Control de Inventario'!P28</f>
        <v>1990.6</v>
      </c>
      <c r="H15" s="12">
        <f t="shared" si="0"/>
        <v>8.711229863212773E-2</v>
      </c>
      <c r="I15" s="2"/>
      <c r="J15" s="2"/>
      <c r="K15" s="2"/>
      <c r="L15" s="2"/>
      <c r="M15" s="2"/>
      <c r="N15" s="2"/>
      <c r="O15" s="2"/>
      <c r="P15" s="2"/>
    </row>
    <row r="16" spans="1:16">
      <c r="A16" s="1" t="s">
        <v>41</v>
      </c>
      <c r="B16" s="2" t="s">
        <v>42</v>
      </c>
      <c r="C16" s="10">
        <f>SUM('6.1 Catálogo de Servicios'!E6:E10,'6.1 Catálogo de Servicios'!E13:E17,'6.1 Catálogo de Servicios'!E20:E24)</f>
        <v>24</v>
      </c>
      <c r="D16" s="11">
        <f>'6.1 Catálogo de Servicios'!D27</f>
        <v>537.29999999999995</v>
      </c>
      <c r="E16" s="11">
        <f>'6.1 Catálogo de Servicios'!H27</f>
        <v>0</v>
      </c>
      <c r="F16" s="11">
        <f>'6.1 Catálogo de Servicios'!M27</f>
        <v>0</v>
      </c>
      <c r="G16" s="11">
        <f>'6.1 Catálogo de Servicios'!P28</f>
        <v>537.29999999999995</v>
      </c>
      <c r="H16" s="12">
        <f t="shared" si="0"/>
        <v>2.3513231214227985E-2</v>
      </c>
      <c r="I16" s="2"/>
      <c r="J16" s="2"/>
      <c r="K16" s="2"/>
      <c r="L16" s="2"/>
      <c r="M16" s="2"/>
      <c r="N16" s="2"/>
      <c r="O16" s="2"/>
      <c r="P16" s="2"/>
    </row>
    <row r="17" spans="1:16">
      <c r="A17" s="1" t="s">
        <v>43</v>
      </c>
      <c r="B17" s="2" t="s">
        <v>44</v>
      </c>
      <c r="C17" s="10">
        <f>SUM('7.1 Agenda del Taller'!E6:E10,'7.1 Agenda del Taller'!E13:E17,'7.1 Agenda del Taller'!E20:E24)</f>
        <v>36</v>
      </c>
      <c r="D17" s="11">
        <f>'7.1 Agenda del Taller'!D27</f>
        <v>858.6</v>
      </c>
      <c r="E17" s="11">
        <f>'7.1 Agenda del Taller'!H27</f>
        <v>0</v>
      </c>
      <c r="F17" s="11">
        <f>'7.1 Agenda del Taller'!M27</f>
        <v>0</v>
      </c>
      <c r="G17" s="11">
        <f>'7.1 Agenda del Taller'!P28</f>
        <v>858.6</v>
      </c>
      <c r="H17" s="12">
        <f t="shared" si="0"/>
        <v>3.757390716645477E-2</v>
      </c>
      <c r="I17" s="2"/>
      <c r="J17" s="2"/>
      <c r="K17" s="2"/>
      <c r="L17" s="2"/>
      <c r="M17" s="2"/>
      <c r="N17" s="2"/>
      <c r="O17" s="2"/>
      <c r="P17" s="2"/>
    </row>
    <row r="18" spans="1:16">
      <c r="A18" s="1" t="s">
        <v>45</v>
      </c>
      <c r="B18" s="2" t="s">
        <v>46</v>
      </c>
      <c r="C18" s="10">
        <f>SUM('8.1 Orden de Trabajo'!E6:E10,'8.1 Orden de Trabajo'!E13:E17,'8.1 Orden de Trabajo'!E20:E24)</f>
        <v>56</v>
      </c>
      <c r="D18" s="11">
        <f>'8.1 Orden de Trabajo'!D27</f>
        <v>1344.4</v>
      </c>
      <c r="E18" s="11">
        <f>'8.1 Orden de Trabajo'!H27</f>
        <v>0</v>
      </c>
      <c r="F18" s="11">
        <f>'8.1 Orden de Trabajo'!M27</f>
        <v>0</v>
      </c>
      <c r="G18" s="11">
        <f>'8.1 Orden de Trabajo'!P28</f>
        <v>1344.4</v>
      </c>
      <c r="H18" s="12">
        <f t="shared" si="0"/>
        <v>5.8833404139974142E-2</v>
      </c>
      <c r="I18" s="2"/>
      <c r="J18" s="2"/>
      <c r="K18" s="2"/>
      <c r="L18" s="2"/>
      <c r="M18" s="2"/>
      <c r="N18" s="2"/>
      <c r="O18" s="2"/>
      <c r="P18" s="2"/>
    </row>
    <row r="19" spans="1:16">
      <c r="A19" s="1" t="s">
        <v>47</v>
      </c>
      <c r="B19" s="2" t="s">
        <v>48</v>
      </c>
      <c r="C19" s="10">
        <f>SUM('8.2 Seguimiento del Taller'!E6:E10,'8.2 Seguimiento del Taller'!E13:E17,'8.2 Seguimiento del Taller'!E20:E24)</f>
        <v>16</v>
      </c>
      <c r="D19" s="11">
        <f>'8.2 Seguimiento del Taller'!D27</f>
        <v>368.45</v>
      </c>
      <c r="E19" s="11">
        <f>'8.2 Seguimiento del Taller'!H27</f>
        <v>0</v>
      </c>
      <c r="F19" s="11">
        <f>'8.2 Seguimiento del Taller'!M27</f>
        <v>0</v>
      </c>
      <c r="G19" s="11">
        <f>'8.2 Seguimiento del Taller'!P28</f>
        <v>368.45</v>
      </c>
      <c r="H19" s="12">
        <f t="shared" si="0"/>
        <v>1.6124046232797881E-2</v>
      </c>
      <c r="I19" s="2"/>
      <c r="J19" s="2"/>
      <c r="K19" s="2"/>
      <c r="L19" s="2"/>
      <c r="M19" s="2"/>
      <c r="N19" s="2"/>
      <c r="O19" s="2"/>
      <c r="P19" s="2"/>
    </row>
    <row r="20" spans="1:16">
      <c r="A20" s="1" t="s">
        <v>49</v>
      </c>
      <c r="B20" s="2" t="s">
        <v>50</v>
      </c>
      <c r="C20" s="10">
        <f>SUM('9.1 Gestión de Ventas'!E6:E10,'9.1 Gestión de Ventas'!E13:E17,'9.1 Gestión de Ventas'!E20:E24)</f>
        <v>16</v>
      </c>
      <c r="D20" s="11">
        <f>'9.1 Gestión de Ventas'!D27</f>
        <v>356.15</v>
      </c>
      <c r="E20" s="11">
        <f>'9.1 Gestión de Ventas'!H27</f>
        <v>0</v>
      </c>
      <c r="F20" s="11">
        <f>'9.1 Gestión de Ventas'!M27</f>
        <v>0</v>
      </c>
      <c r="G20" s="11">
        <f>'9.1 Gestión de Ventas'!P28</f>
        <v>356.15</v>
      </c>
      <c r="H20" s="12">
        <f t="shared" si="0"/>
        <v>1.5585775724822813E-2</v>
      </c>
      <c r="I20" s="2"/>
      <c r="J20" s="2"/>
      <c r="K20" s="2"/>
      <c r="L20" s="2"/>
      <c r="M20" s="2"/>
      <c r="N20" s="2"/>
      <c r="O20" s="2"/>
      <c r="P20" s="2"/>
    </row>
    <row r="21" spans="1:16">
      <c r="A21" s="1" t="s">
        <v>51</v>
      </c>
      <c r="B21" s="2" t="s">
        <v>52</v>
      </c>
      <c r="C21" s="10">
        <f>SUM('9.2 Gestión de Pagos'!E6:E10,'9.2 Gestión de Pagos'!E13:E17,'9.2 Gestión de Pagos'!E20:E24)</f>
        <v>28</v>
      </c>
      <c r="D21" s="11">
        <f>'9.2 Gestión de Pagos'!D27</f>
        <v>686.9</v>
      </c>
      <c r="E21" s="11">
        <f>'9.2 Gestión de Pagos'!H27</f>
        <v>0</v>
      </c>
      <c r="F21" s="11">
        <f>'9.2 Gestión de Pagos'!M27</f>
        <v>0</v>
      </c>
      <c r="G21" s="11">
        <f>'9.2 Gestión de Pagos'!P28</f>
        <v>686.9</v>
      </c>
      <c r="H21" s="12">
        <f t="shared" si="0"/>
        <v>3.0060000969762149E-2</v>
      </c>
      <c r="I21" s="2"/>
      <c r="J21" s="2"/>
      <c r="K21" s="2"/>
      <c r="L21" s="2"/>
      <c r="M21" s="2"/>
      <c r="N21" s="2"/>
      <c r="O21" s="2"/>
      <c r="P21" s="2"/>
    </row>
    <row r="22" spans="1:16">
      <c r="A22" s="1" t="s">
        <v>53</v>
      </c>
      <c r="B22" s="2" t="s">
        <v>54</v>
      </c>
      <c r="C22" s="10">
        <f>SUM('10.1 Consulta Centralizada'!E6:E10,'10.1 Consulta Centralizada'!E13:E17,'10.1 Consulta Centralizada'!E20:E24)</f>
        <v>20</v>
      </c>
      <c r="D22" s="11">
        <f>'10.1 Consulta Centralizada'!D27</f>
        <v>502.45000000000005</v>
      </c>
      <c r="E22" s="11">
        <f>'10.1 Consulta Centralizada'!H27</f>
        <v>0</v>
      </c>
      <c r="F22" s="11">
        <f>'10.1 Consulta Centralizada'!M27</f>
        <v>0</v>
      </c>
      <c r="G22" s="11">
        <f>'10.1 Consulta Centralizada'!P28</f>
        <v>502.45000000000005</v>
      </c>
      <c r="H22" s="12">
        <f t="shared" si="0"/>
        <v>2.1988131441631961E-2</v>
      </c>
      <c r="I22" s="2"/>
      <c r="J22" s="2"/>
      <c r="K22" s="2"/>
      <c r="L22" s="2"/>
      <c r="M22" s="2"/>
      <c r="N22" s="2"/>
      <c r="O22" s="2"/>
      <c r="P22" s="2"/>
    </row>
    <row r="23" spans="1:16">
      <c r="A23" s="1" t="s">
        <v>55</v>
      </c>
      <c r="B23" s="2" t="s">
        <v>56</v>
      </c>
      <c r="C23" s="10">
        <f>SUM('11.1 Panel Analítico de Torcly'!E6:E10,'11.1 Panel Analítico de Torcly'!E13:E17,'11.1 Panel Analítico de Torcly'!E20:E24)</f>
        <v>36</v>
      </c>
      <c r="D23" s="11">
        <f>'11.1 Panel Analítico de Torcly'!D27</f>
        <v>870.07499999999993</v>
      </c>
      <c r="E23" s="11">
        <f>'11.1 Panel Analítico de Torcly'!H27</f>
        <v>0</v>
      </c>
      <c r="F23" s="11">
        <f>'11.1 Panel Analítico de Torcly'!M27</f>
        <v>200</v>
      </c>
      <c r="G23" s="11">
        <f>'11.1 Panel Analítico de Torcly'!P28</f>
        <v>1070.0749999999998</v>
      </c>
      <c r="H23" s="12">
        <f t="shared" si="0"/>
        <v>4.6828440148083024E-2</v>
      </c>
      <c r="I23" s="2"/>
      <c r="J23" s="2"/>
      <c r="K23" s="2"/>
      <c r="L23" s="2"/>
      <c r="M23" s="2"/>
      <c r="N23" s="2"/>
      <c r="O23" s="2"/>
      <c r="P23" s="2"/>
    </row>
    <row r="24" spans="1:16">
      <c r="A24" s="1" t="s">
        <v>57</v>
      </c>
      <c r="B24" s="2" t="s">
        <v>58</v>
      </c>
      <c r="C24" s="10">
        <f>SUM('12.1 Motor de Apoyo a Reposició'!E6:E10,'12.1 Motor de Apoyo a Reposició'!E13:E17,'12.1 Motor de Apoyo a Reposició'!E20:E24)</f>
        <v>44</v>
      </c>
      <c r="D24" s="11">
        <f>'12.1 Motor de Apoyo a Reposició'!D27</f>
        <v>1044.8249999999998</v>
      </c>
      <c r="E24" s="11">
        <f>'12.1 Motor de Apoyo a Reposició'!H27</f>
        <v>0</v>
      </c>
      <c r="F24" s="11">
        <f>'12.1 Motor de Apoyo a Reposició'!M27</f>
        <v>200</v>
      </c>
      <c r="G24" s="11">
        <f>'12.1 Motor de Apoyo a Reposició'!P28</f>
        <v>1244.8249999999998</v>
      </c>
      <c r="H24" s="12">
        <f t="shared" si="0"/>
        <v>5.4475819926021497E-2</v>
      </c>
      <c r="I24" s="2"/>
      <c r="J24" s="2"/>
      <c r="K24" s="2"/>
      <c r="L24" s="2"/>
      <c r="M24" s="2"/>
      <c r="N24" s="2"/>
      <c r="O24" s="2"/>
      <c r="P24" s="2"/>
    </row>
    <row r="25" spans="1:16">
      <c r="A25" s="1" t="s">
        <v>59</v>
      </c>
      <c r="B25" s="2" t="s">
        <v>60</v>
      </c>
      <c r="C25" s="10">
        <f>SUM('13.1 Aseguramiento de Calidad'!E6:E10,'13.1 Aseguramiento de Calidad'!E13:E17,'13.1 Aseguramiento de Calidad'!E20:E24)</f>
        <v>48</v>
      </c>
      <c r="D25" s="11">
        <f>'13.1 Aseguramiento de Calidad'!D27</f>
        <v>1142.375</v>
      </c>
      <c r="E25" s="11">
        <f>'13.1 Aseguramiento de Calidad'!H27</f>
        <v>0</v>
      </c>
      <c r="F25" s="11">
        <f>'13.1 Aseguramiento de Calidad'!M27</f>
        <v>600</v>
      </c>
      <c r="G25" s="11">
        <f>'13.1 Aseguramiento de Calidad'!P28</f>
        <v>1742.375</v>
      </c>
      <c r="H25" s="12">
        <f t="shared" si="0"/>
        <v>7.6249518401061769E-2</v>
      </c>
      <c r="I25" s="2"/>
      <c r="J25" s="2"/>
      <c r="K25" s="2"/>
      <c r="L25" s="2"/>
      <c r="M25" s="2"/>
      <c r="N25" s="2"/>
      <c r="O25" s="2"/>
      <c r="P25" s="2"/>
    </row>
    <row r="26" spans="1:16">
      <c r="A26" s="1" t="s">
        <v>61</v>
      </c>
      <c r="B26" s="2" t="s">
        <v>62</v>
      </c>
      <c r="C26" s="10">
        <f>SUM('13.2 Implementación'!E6:E10,'13.2 Implementación'!E13:E17,'13.2 Implementación'!E20:E24)</f>
        <v>16</v>
      </c>
      <c r="D26" s="11">
        <f>'13.2 Implementación'!D27</f>
        <v>364.45</v>
      </c>
      <c r="E26" s="11">
        <f>'13.2 Implementación'!H27</f>
        <v>1200</v>
      </c>
      <c r="F26" s="11">
        <f>'13.2 Implementación'!M27</f>
        <v>400</v>
      </c>
      <c r="G26" s="11">
        <f>'13.2 Implementación'!P28</f>
        <v>1964.45</v>
      </c>
      <c r="H26" s="12">
        <f t="shared" si="0"/>
        <v>8.5967926779806747E-2</v>
      </c>
      <c r="I26" s="2"/>
      <c r="J26" s="2"/>
      <c r="K26" s="2"/>
      <c r="L26" s="2"/>
      <c r="M26" s="2"/>
      <c r="N26" s="2"/>
      <c r="O26" s="2"/>
      <c r="P26" s="2"/>
    </row>
    <row r="27" spans="1:16">
      <c r="A27" s="1" t="s">
        <v>63</v>
      </c>
      <c r="B27" s="2" t="s">
        <v>64</v>
      </c>
      <c r="C27" s="10">
        <f>SUM('13.3 Transferencia de Conocimie'!E6:E10,'13.3 Transferencia de Conocimie'!E13:E17,'13.3 Transferencia de Conocimie'!E20:E24)</f>
        <v>32</v>
      </c>
      <c r="D27" s="11">
        <f>'13.3 Transferencia de Conocimie'!D27</f>
        <v>750.22499999999991</v>
      </c>
      <c r="E27" s="11">
        <f>'13.3 Transferencia de Conocimie'!H27</f>
        <v>0</v>
      </c>
      <c r="F27" s="11">
        <f>'13.3 Transferencia de Conocimie'!M27</f>
        <v>0</v>
      </c>
      <c r="G27" s="11">
        <f>'13.3 Transferencia de Conocimie'!P28</f>
        <v>750.22499999999991</v>
      </c>
      <c r="H27" s="12">
        <f t="shared" si="0"/>
        <v>3.2831218849235413E-2</v>
      </c>
      <c r="I27" s="2"/>
      <c r="J27" s="2"/>
      <c r="K27" s="2"/>
      <c r="L27" s="2"/>
      <c r="M27" s="2"/>
      <c r="N27" s="2"/>
      <c r="O27" s="2"/>
      <c r="P27" s="2"/>
    </row>
    <row r="28" spans="1:16">
      <c r="A28" s="13" t="s">
        <v>65</v>
      </c>
      <c r="B28" s="14" t="s">
        <v>66</v>
      </c>
      <c r="C28" s="15">
        <f>SUM('13.4 Cierre del Proyecto'!E6:E10,'13.4 Cierre del Proyecto'!E13:E17,'13.4 Cierre del Proyecto'!E20:E24)</f>
        <v>16</v>
      </c>
      <c r="D28" s="16">
        <f>'13.4 Cierre del Proyecto'!D27</f>
        <v>448.4</v>
      </c>
      <c r="E28" s="16">
        <f>'13.4 Cierre del Proyecto'!H27</f>
        <v>0</v>
      </c>
      <c r="F28" s="16">
        <f>'13.4 Cierre del Proyecto'!M27</f>
        <v>0</v>
      </c>
      <c r="G28" s="16">
        <f>'13.4 Cierre del Proyecto'!P28</f>
        <v>448.4</v>
      </c>
      <c r="H28" s="17">
        <f t="shared" si="0"/>
        <v>1.9622804534635826E-2</v>
      </c>
      <c r="I28" s="2"/>
      <c r="J28" s="2"/>
      <c r="K28" s="2"/>
      <c r="L28" s="2"/>
      <c r="M28" s="2"/>
      <c r="N28" s="2"/>
      <c r="O28" s="2"/>
      <c r="P28" s="2"/>
    </row>
    <row r="29" spans="1:16">
      <c r="A29" s="2"/>
      <c r="B29" s="2"/>
      <c r="C29" s="2"/>
      <c r="D29" s="11"/>
      <c r="E29" s="11"/>
      <c r="F29" s="11"/>
      <c r="G29" s="11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74" t="s">
        <v>67</v>
      </c>
      <c r="B30" s="75"/>
      <c r="C30" s="75"/>
      <c r="D30" s="75"/>
      <c r="E30" s="75"/>
      <c r="F30" s="75"/>
      <c r="G30" s="18">
        <f>SUM(G4:G28)</f>
        <v>21158.3</v>
      </c>
      <c r="H30" s="19"/>
      <c r="I30" s="2"/>
      <c r="J30" s="2"/>
      <c r="K30" s="2"/>
      <c r="L30" s="2"/>
      <c r="M30" s="2"/>
      <c r="N30" s="2"/>
      <c r="O30" s="2"/>
      <c r="P30" s="2"/>
    </row>
    <row r="31" spans="1:16">
      <c r="A31" s="76" t="s">
        <v>68</v>
      </c>
      <c r="B31" s="77"/>
      <c r="C31" s="77"/>
      <c r="D31" s="77"/>
      <c r="E31" s="77"/>
      <c r="F31" s="77"/>
      <c r="G31" s="21">
        <f>G30*Supuestos!$B$15</f>
        <v>1692.664</v>
      </c>
      <c r="H31" s="22"/>
      <c r="I31" s="2"/>
      <c r="J31" s="2"/>
      <c r="K31" s="2"/>
      <c r="L31" s="2"/>
      <c r="M31" s="2"/>
      <c r="N31" s="2"/>
      <c r="O31" s="2"/>
      <c r="P31" s="2"/>
    </row>
    <row r="32" spans="1:16">
      <c r="A32" s="78" t="s">
        <v>69</v>
      </c>
      <c r="B32" s="79"/>
      <c r="C32" s="79"/>
      <c r="D32" s="79"/>
      <c r="E32" s="79"/>
      <c r="F32" s="79"/>
      <c r="G32" s="23">
        <f>G30+G31</f>
        <v>22850.964</v>
      </c>
      <c r="H32" s="24">
        <v>1</v>
      </c>
      <c r="I32" s="2"/>
      <c r="J32" s="2"/>
      <c r="K32" s="2"/>
      <c r="L32" s="2"/>
      <c r="M32" s="2"/>
      <c r="N32" s="2"/>
      <c r="O32" s="2"/>
      <c r="P32" s="2"/>
    </row>
    <row r="33" spans="1:16">
      <c r="A33" s="2"/>
      <c r="B33" s="2"/>
      <c r="C33" s="2"/>
      <c r="D33" s="44"/>
      <c r="E33" s="44"/>
      <c r="F33" s="44"/>
      <c r="G33" s="44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/>
      <c r="C34" s="2"/>
      <c r="D34" s="44"/>
      <c r="E34" s="44"/>
      <c r="F34" s="44"/>
      <c r="G34" s="44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80" t="s">
        <v>70</v>
      </c>
      <c r="B35" s="81"/>
      <c r="C35" s="81"/>
      <c r="D35" s="82"/>
      <c r="E35" s="44"/>
      <c r="F35" s="85" t="s">
        <v>71</v>
      </c>
      <c r="G35" s="85"/>
      <c r="H35" s="86"/>
      <c r="I35" s="2"/>
      <c r="J35" s="2"/>
      <c r="K35" s="2"/>
      <c r="L35" s="2"/>
      <c r="M35" s="2"/>
      <c r="N35" s="2"/>
      <c r="O35" s="2"/>
      <c r="P35" s="2"/>
    </row>
    <row r="36" spans="1:16">
      <c r="A36" s="4" t="s">
        <v>72</v>
      </c>
      <c r="B36" s="5" t="s">
        <v>73</v>
      </c>
      <c r="C36" s="5" t="s">
        <v>74</v>
      </c>
      <c r="D36" s="47" t="s">
        <v>75</v>
      </c>
      <c r="E36" s="44"/>
      <c r="F36" s="71" t="s">
        <v>76</v>
      </c>
      <c r="G36" s="71" t="s">
        <v>77</v>
      </c>
      <c r="H36" s="72" t="s">
        <v>78</v>
      </c>
      <c r="I36" s="2"/>
      <c r="J36" s="2"/>
      <c r="K36" s="2"/>
      <c r="L36" s="2"/>
      <c r="M36" s="2"/>
      <c r="N36" s="2"/>
      <c r="O36" s="2"/>
      <c r="P36" s="2"/>
    </row>
    <row r="37" spans="1:16" ht="55.2">
      <c r="A37" s="1" t="s">
        <v>79</v>
      </c>
      <c r="B37" s="10">
        <f>SUMIF('1.1 Formalización del Proyecto'!$D$6:$D$24,A37,'1.1 Formalización del Proyecto'!$E$6:$E$24)+SUMIF('1.2 Planificación del Proyecto'!$D$6:$D$24,A37,'1.2 Planificación del Proyecto'!$E$6:$E$24)+SUMIF('2.1 Especificación Funcional'!$D$6:$D$24,A37,'2.1 Especificación Funcional'!$E$6:$E$24)+SUMIF('2.2 Modelamiento Funcional'!$D$6:$D$24,A37,'2.2 Modelamiento Funcional'!$E$6:$E$24)+SUMIF('2.3 Diseño de Arquitectura'!$D$6:$D$24,A37,'2.3 Diseño de Arquitectura'!$E$6:$E$24)+SUMIF('2.4 Diseño de Datos'!$D$6:$D$24,A37,'2.4 Diseño de Datos'!$E$6:$E$24)+SUMIF('2.5 Diseño UI-UX'!$D$6:$D$24,A37,'2.5 Diseño UI-UX'!$E$6:$E$24)+SUMIF('3.1 Control de Acceso a Torcly'!$D$6:$D$24,A37,'3.1 Control de Acceso a Torcly'!$E$6:$E$24)+SUMIF('4.1 Gestión de Clientes'!$D$6:$D$24,A37,'4.1 Gestión de Clientes'!$E$6:$E$24)+SUMIF('4.2 Gestión de Vehículos'!$D$6:$D$24,A37,'4.2 Gestión de Vehículos'!$E$6:$E$24)+SUMIF('5.1 Catálogo de Productos'!$D$6:$D$24,A37,'5.1 Catálogo de Productos'!$E$6:$E$24)+SUMIF('5.2 Control de Inventario'!$D$6:$D$24,A37,'5.2 Control de Inventario'!$E$6:$E$24)+SUMIF('6.1 Catálogo de Servicios'!$D$6:$D$24,A37,'6.1 Catálogo de Servicios'!$E$6:$E$24)+SUMIF('7.1 Agenda del Taller'!$D$6:$D$24,A37,'7.1 Agenda del Taller'!$E$6:$E$24)+SUMIF('8.1 Orden de Trabajo'!$D$6:$D$24,A37,'8.1 Orden de Trabajo'!$E$6:$E$24)+SUMIF('8.2 Seguimiento del Taller'!$D$6:$D$24,A37,'8.2 Seguimiento del Taller'!$E$6:$E$24)+SUMIF('9.1 Gestión de Ventas'!$D$6:$D$24,A37,'9.1 Gestión de Ventas'!$E$6:$E$24)+SUMIF('9.2 Gestión de Pagos'!$D$6:$D$24,A37,'9.2 Gestión de Pagos'!$E$6:$E$24)+SUMIF('10.1 Consulta Centralizada'!$D$6:$D$24,A37,'10.1 Consulta Centralizada'!$E$6:$E$24)+SUMIF('11.1 Panel Analítico de Torcly'!$D$6:$D$24,A37,'11.1 Panel Analítico de Torcly'!$E$6:$E$24)+SUMIF('12.1 Motor de Apoyo a Reposició'!$D$6:$D$24,A37,'12.1 Motor de Apoyo a Reposició'!$E$6:$E$24)+SUMIF('13.1 Aseguramiento de Calidad'!$D$6:$D$24,A37,'13.1 Aseguramiento de Calidad'!$E$6:$E$24)+SUMIF('13.2 Implementación'!$D$6:$D$24,A37,'13.2 Implementación'!$E$6:$E$24)+SUMIF('13.3 Transferencia de Conocimie'!$D$6:$D$24,A37,'13.3 Transferencia de Conocimie'!$E$6:$E$24)+SUMIF('13.4 Cierre del Proyecto'!$D$6:$D$24,A37,'13.4 Cierre del Proyecto'!$E$6:$E$24)</f>
        <v>142</v>
      </c>
      <c r="C37" s="3">
        <f>Supuestos!$E$4</f>
        <v>28.024999999999999</v>
      </c>
      <c r="D37" s="25">
        <f>B37*C37</f>
        <v>3979.5499999999997</v>
      </c>
      <c r="E37" s="44"/>
      <c r="F37" s="44" t="s">
        <v>80</v>
      </c>
      <c r="G37" s="11">
        <v>10000</v>
      </c>
      <c r="H37" s="2" t="s">
        <v>81</v>
      </c>
      <c r="I37" s="2"/>
      <c r="J37" s="2"/>
      <c r="K37" s="2"/>
      <c r="L37" s="2"/>
      <c r="M37" s="2"/>
      <c r="N37" s="2"/>
      <c r="O37" s="2"/>
      <c r="P37" s="2"/>
    </row>
    <row r="38" spans="1:16" ht="55.2">
      <c r="A38" s="1" t="s">
        <v>82</v>
      </c>
      <c r="B38" s="10">
        <f>SUMIF('1.1 Formalización del Proyecto'!$D$6:$D$24,A38,'1.1 Formalización del Proyecto'!$E$6:$E$24)+SUMIF('1.2 Planificación del Proyecto'!$D$6:$D$24,A38,'1.2 Planificación del Proyecto'!$E$6:$E$24)+SUMIF('2.1 Especificación Funcional'!$D$6:$D$24,A38,'2.1 Especificación Funcional'!$E$6:$E$24)+SUMIF('2.2 Modelamiento Funcional'!$D$6:$D$24,A38,'2.2 Modelamiento Funcional'!$E$6:$E$24)+SUMIF('2.3 Diseño de Arquitectura'!$D$6:$D$24,A38,'2.3 Diseño de Arquitectura'!$E$6:$E$24)+SUMIF('2.4 Diseño de Datos'!$D$6:$D$24,A38,'2.4 Diseño de Datos'!$E$6:$E$24)+SUMIF('2.5 Diseño UI-UX'!$D$6:$D$24,A38,'2.5 Diseño UI-UX'!$E$6:$E$24)+SUMIF('3.1 Control de Acceso a Torcly'!$D$6:$D$24,A38,'3.1 Control de Acceso a Torcly'!$E$6:$E$24)+SUMIF('4.1 Gestión de Clientes'!$D$6:$D$24,A38,'4.1 Gestión de Clientes'!$E$6:$E$24)+SUMIF('4.2 Gestión de Vehículos'!$D$6:$D$24,A38,'4.2 Gestión de Vehículos'!$E$6:$E$24)+SUMIF('5.1 Catálogo de Productos'!$D$6:$D$24,A38,'5.1 Catálogo de Productos'!$E$6:$E$24)+SUMIF('5.2 Control de Inventario'!$D$6:$D$24,A38,'5.2 Control de Inventario'!$E$6:$E$24)+SUMIF('6.1 Catálogo de Servicios'!$D$6:$D$24,A38,'6.1 Catálogo de Servicios'!$E$6:$E$24)+SUMIF('7.1 Agenda del Taller'!$D$6:$D$24,A38,'7.1 Agenda del Taller'!$E$6:$E$24)+SUMIF('8.1 Orden de Trabajo'!$D$6:$D$24,A38,'8.1 Orden de Trabajo'!$E$6:$E$24)+SUMIF('8.2 Seguimiento del Taller'!$D$6:$D$24,A38,'8.2 Seguimiento del Taller'!$E$6:$E$24)+SUMIF('9.1 Gestión de Ventas'!$D$6:$D$24,A38,'9.1 Gestión de Ventas'!$E$6:$E$24)+SUMIF('9.2 Gestión de Pagos'!$D$6:$D$24,A38,'9.2 Gestión de Pagos'!$E$6:$E$24)+SUMIF('10.1 Consulta Centralizada'!$D$6:$D$24,A38,'10.1 Consulta Centralizada'!$E$6:$E$24)+SUMIF('11.1 Panel Analítico de Torcly'!$D$6:$D$24,A38,'11.1 Panel Analítico de Torcly'!$E$6:$E$24)+SUMIF('12.1 Motor de Apoyo a Reposició'!$D$6:$D$24,A38,'12.1 Motor de Apoyo a Reposició'!$E$6:$E$24)+SUMIF('13.1 Aseguramiento de Calidad'!$D$6:$D$24,A38,'13.1 Aseguramiento de Calidad'!$E$6:$E$24)+SUMIF('13.2 Implementación'!$D$6:$D$24,A38,'13.2 Implementación'!$E$6:$E$24)+SUMIF('13.3 Transferencia de Conocimie'!$D$6:$D$24,A38,'13.3 Transferencia de Conocimie'!$E$6:$E$24)+SUMIF('13.4 Cierre del Proyecto'!$D$6:$D$24,A38,'13.4 Cierre del Proyecto'!$E$6:$E$24)</f>
        <v>142</v>
      </c>
      <c r="C38" s="3">
        <f>Supuestos!$E$5</f>
        <v>24.8</v>
      </c>
      <c r="D38" s="25">
        <f>B38*C38</f>
        <v>3521.6</v>
      </c>
      <c r="E38" s="44"/>
      <c r="F38" s="44" t="s">
        <v>83</v>
      </c>
      <c r="G38" s="11">
        <f>G32</f>
        <v>22850.964</v>
      </c>
      <c r="H38" s="2" t="s">
        <v>84</v>
      </c>
      <c r="I38" s="2"/>
      <c r="J38" s="2"/>
      <c r="K38" s="2"/>
      <c r="L38" s="2"/>
      <c r="M38" s="2"/>
      <c r="N38" s="2"/>
      <c r="O38" s="2"/>
      <c r="P38" s="2"/>
    </row>
    <row r="39" spans="1:16" ht="55.2">
      <c r="A39" s="1" t="s">
        <v>85</v>
      </c>
      <c r="B39" s="10">
        <f>SUMIF('1.1 Formalización del Proyecto'!$D$6:$D$24,A39,'1.1 Formalización del Proyecto'!$E$6:$E$24)+SUMIF('1.2 Planificación del Proyecto'!$D$6:$D$24,A39,'1.2 Planificación del Proyecto'!$E$6:$E$24)+SUMIF('2.1 Especificación Funcional'!$D$6:$D$24,A39,'2.1 Especificación Funcional'!$E$6:$E$24)+SUMIF('2.2 Modelamiento Funcional'!$D$6:$D$24,A39,'2.2 Modelamiento Funcional'!$E$6:$E$24)+SUMIF('2.3 Diseño de Arquitectura'!$D$6:$D$24,A39,'2.3 Diseño de Arquitectura'!$E$6:$E$24)+SUMIF('2.4 Diseño de Datos'!$D$6:$D$24,A39,'2.4 Diseño de Datos'!$E$6:$E$24)+SUMIF('2.5 Diseño UI-UX'!$D$6:$D$24,A39,'2.5 Diseño UI-UX'!$E$6:$E$24)+SUMIF('3.1 Control de Acceso a Torcly'!$D$6:$D$24,A39,'3.1 Control de Acceso a Torcly'!$E$6:$E$24)+SUMIF('4.1 Gestión de Clientes'!$D$6:$D$24,A39,'4.1 Gestión de Clientes'!$E$6:$E$24)+SUMIF('4.2 Gestión de Vehículos'!$D$6:$D$24,A39,'4.2 Gestión de Vehículos'!$E$6:$E$24)+SUMIF('5.1 Catálogo de Productos'!$D$6:$D$24,A39,'5.1 Catálogo de Productos'!$E$6:$E$24)+SUMIF('5.2 Control de Inventario'!$D$6:$D$24,A39,'5.2 Control de Inventario'!$E$6:$E$24)+SUMIF('6.1 Catálogo de Servicios'!$D$6:$D$24,A39,'6.1 Catálogo de Servicios'!$E$6:$E$24)+SUMIF('7.1 Agenda del Taller'!$D$6:$D$24,A39,'7.1 Agenda del Taller'!$E$6:$E$24)+SUMIF('8.1 Orden de Trabajo'!$D$6:$D$24,A39,'8.1 Orden de Trabajo'!$E$6:$E$24)+SUMIF('8.2 Seguimiento del Taller'!$D$6:$D$24,A39,'8.2 Seguimiento del Taller'!$E$6:$E$24)+SUMIF('9.1 Gestión de Ventas'!$D$6:$D$24,A39,'9.1 Gestión de Ventas'!$E$6:$E$24)+SUMIF('9.2 Gestión de Pagos'!$D$6:$D$24,A39,'9.2 Gestión de Pagos'!$E$6:$E$24)+SUMIF('10.1 Consulta Centralizada'!$D$6:$D$24,A39,'10.1 Consulta Centralizada'!$E$6:$E$24)+SUMIF('11.1 Panel Analítico de Torcly'!$D$6:$D$24,A39,'11.1 Panel Analítico de Torcly'!$E$6:$E$24)+SUMIF('12.1 Motor de Apoyo a Reposició'!$D$6:$D$24,A39,'12.1 Motor de Apoyo a Reposició'!$E$6:$E$24)+SUMIF('13.1 Aseguramiento de Calidad'!$D$6:$D$24,A39,'13.1 Aseguramiento de Calidad'!$E$6:$E$24)+SUMIF('13.2 Implementación'!$D$6:$D$24,A39,'13.2 Implementación'!$E$6:$E$24)+SUMIF('13.3 Transferencia de Conocimie'!$D$6:$D$24,A39,'13.3 Transferencia de Conocimie'!$E$6:$E$24)+SUMIF('13.4 Cierre del Proyecto'!$D$6:$D$24,A39,'13.4 Cierre del Proyecto'!$E$6:$E$24)</f>
        <v>143</v>
      </c>
      <c r="C39" s="3">
        <f>Supuestos!$E$6</f>
        <v>21.875</v>
      </c>
      <c r="D39" s="25">
        <f>B39*C39</f>
        <v>3128.125</v>
      </c>
      <c r="E39" s="44"/>
      <c r="F39" s="44" t="s">
        <v>86</v>
      </c>
      <c r="G39" s="11">
        <f>G38-G37</f>
        <v>12850.964</v>
      </c>
      <c r="H39" s="2" t="s">
        <v>87</v>
      </c>
      <c r="I39" s="2"/>
      <c r="J39" s="2"/>
      <c r="K39" s="2"/>
      <c r="L39" s="2"/>
      <c r="M39" s="2"/>
      <c r="N39" s="2"/>
      <c r="O39" s="2"/>
      <c r="P39" s="2"/>
    </row>
    <row r="40" spans="1:16" ht="41.4">
      <c r="A40" s="1" t="s">
        <v>88</v>
      </c>
      <c r="B40" s="10">
        <f>SUMIF('1.1 Formalización del Proyecto'!$D$6:$D$24,A40,'1.1 Formalización del Proyecto'!$E$6:$E$24)+SUMIF('1.2 Planificación del Proyecto'!$D$6:$D$24,A40,'1.2 Planificación del Proyecto'!$E$6:$E$24)+SUMIF('2.1 Especificación Funcional'!$D$6:$D$24,A40,'2.1 Especificación Funcional'!$E$6:$E$24)+SUMIF('2.2 Modelamiento Funcional'!$D$6:$D$24,A40,'2.2 Modelamiento Funcional'!$E$6:$E$24)+SUMIF('2.3 Diseño de Arquitectura'!$D$6:$D$24,A40,'2.3 Diseño de Arquitectura'!$E$6:$E$24)+SUMIF('2.4 Diseño de Datos'!$D$6:$D$24,A40,'2.4 Diseño de Datos'!$E$6:$E$24)+SUMIF('2.5 Diseño UI-UX'!$D$6:$D$24,A40,'2.5 Diseño UI-UX'!$E$6:$E$24)+SUMIF('3.1 Control de Acceso a Torcly'!$D$6:$D$24,A40,'3.1 Control de Acceso a Torcly'!$E$6:$E$24)+SUMIF('4.1 Gestión de Clientes'!$D$6:$D$24,A40,'4.1 Gestión de Clientes'!$E$6:$E$24)+SUMIF('4.2 Gestión de Vehículos'!$D$6:$D$24,A40,'4.2 Gestión de Vehículos'!$E$6:$E$24)+SUMIF('5.1 Catálogo de Productos'!$D$6:$D$24,A40,'5.1 Catálogo de Productos'!$E$6:$E$24)+SUMIF('5.2 Control de Inventario'!$D$6:$D$24,A40,'5.2 Control de Inventario'!$E$6:$E$24)+SUMIF('6.1 Catálogo de Servicios'!$D$6:$D$24,A40,'6.1 Catálogo de Servicios'!$E$6:$E$24)+SUMIF('7.1 Agenda del Taller'!$D$6:$D$24,A40,'7.1 Agenda del Taller'!$E$6:$E$24)+SUMIF('8.1 Orden de Trabajo'!$D$6:$D$24,A40,'8.1 Orden de Trabajo'!$E$6:$E$24)+SUMIF('8.2 Seguimiento del Taller'!$D$6:$D$24,A40,'8.2 Seguimiento del Taller'!$E$6:$E$24)+SUMIF('9.1 Gestión de Ventas'!$D$6:$D$24,A40,'9.1 Gestión de Ventas'!$E$6:$E$24)+SUMIF('9.2 Gestión de Pagos'!$D$6:$D$24,A40,'9.2 Gestión de Pagos'!$E$6:$E$24)+SUMIF('10.1 Consulta Centralizada'!$D$6:$D$24,A40,'10.1 Consulta Centralizada'!$E$6:$E$24)+SUMIF('11.1 Panel Analítico de Torcly'!$D$6:$D$24,A40,'11.1 Panel Analítico de Torcly'!$E$6:$E$24)+SUMIF('12.1 Motor de Apoyo a Reposició'!$D$6:$D$24,A40,'12.1 Motor de Apoyo a Reposició'!$E$6:$E$24)+SUMIF('13.1 Aseguramiento de Calidad'!$D$6:$D$24,A40,'13.1 Aseguramiento de Calidad'!$E$6:$E$24)+SUMIF('13.2 Implementación'!$D$6:$D$24,A40,'13.2 Implementación'!$E$6:$E$24)+SUMIF('13.3 Transferencia de Conocimie'!$D$6:$D$24,A40,'13.3 Transferencia de Conocimie'!$E$6:$E$24)+SUMIF('13.4 Cierre del Proyecto'!$D$6:$D$24,A40,'13.4 Cierre del Proyecto'!$E$6:$E$24)</f>
        <v>142</v>
      </c>
      <c r="C40" s="3">
        <f>Supuestos!$E$7</f>
        <v>23.95</v>
      </c>
      <c r="D40" s="25">
        <f>B40*C40</f>
        <v>3400.9</v>
      </c>
      <c r="E40" s="44"/>
      <c r="F40" s="44" t="s">
        <v>89</v>
      </c>
      <c r="G40" s="70">
        <f>G39/G37</f>
        <v>1.2850964</v>
      </c>
      <c r="H40" s="2" t="s">
        <v>90</v>
      </c>
      <c r="I40" s="2"/>
      <c r="J40" s="2"/>
      <c r="K40" s="2"/>
      <c r="L40" s="2"/>
      <c r="M40" s="2"/>
      <c r="N40" s="2"/>
      <c r="O40" s="2"/>
      <c r="P40" s="2"/>
    </row>
    <row r="41" spans="1:16" ht="41.4">
      <c r="A41" s="1" t="s">
        <v>91</v>
      </c>
      <c r="B41" s="10">
        <f>SUMIF('1.1 Formalización del Proyecto'!$D$6:$D$24,A41,'1.1 Formalización del Proyecto'!$E$6:$E$24)+SUMIF('1.2 Planificación del Proyecto'!$D$6:$D$24,A41,'1.2 Planificación del Proyecto'!$E$6:$E$24)+SUMIF('2.1 Especificación Funcional'!$D$6:$D$24,A41,'2.1 Especificación Funcional'!$E$6:$E$24)+SUMIF('2.2 Modelamiento Funcional'!$D$6:$D$24,A41,'2.2 Modelamiento Funcional'!$E$6:$E$24)+SUMIF('2.3 Diseño de Arquitectura'!$D$6:$D$24,A41,'2.3 Diseño de Arquitectura'!$E$6:$E$24)+SUMIF('2.4 Diseño de Datos'!$D$6:$D$24,A41,'2.4 Diseño de Datos'!$E$6:$E$24)+SUMIF('2.5 Diseño UI-UX'!$D$6:$D$24,A41,'2.5 Diseño UI-UX'!$E$6:$E$24)+SUMIF('3.1 Control de Acceso a Torcly'!$D$6:$D$24,A41,'3.1 Control de Acceso a Torcly'!$E$6:$E$24)+SUMIF('4.1 Gestión de Clientes'!$D$6:$D$24,A41,'4.1 Gestión de Clientes'!$E$6:$E$24)+SUMIF('4.2 Gestión de Vehículos'!$D$6:$D$24,A41,'4.2 Gestión de Vehículos'!$E$6:$E$24)+SUMIF('5.1 Catálogo de Productos'!$D$6:$D$24,A41,'5.1 Catálogo de Productos'!$E$6:$E$24)+SUMIF('5.2 Control de Inventario'!$D$6:$D$24,A41,'5.2 Control de Inventario'!$E$6:$E$24)+SUMIF('6.1 Catálogo de Servicios'!$D$6:$D$24,A41,'6.1 Catálogo de Servicios'!$E$6:$E$24)+SUMIF('7.1 Agenda del Taller'!$D$6:$D$24,A41,'7.1 Agenda del Taller'!$E$6:$E$24)+SUMIF('8.1 Orden de Trabajo'!$D$6:$D$24,A41,'8.1 Orden de Trabajo'!$E$6:$E$24)+SUMIF('8.2 Seguimiento del Taller'!$D$6:$D$24,A41,'8.2 Seguimiento del Taller'!$E$6:$E$24)+SUMIF('9.1 Gestión de Ventas'!$D$6:$D$24,A41,'9.1 Gestión de Ventas'!$E$6:$E$24)+SUMIF('9.2 Gestión de Pagos'!$D$6:$D$24,A41,'9.2 Gestión de Pagos'!$E$6:$E$24)+SUMIF('10.1 Consulta Centralizada'!$D$6:$D$24,A41,'10.1 Consulta Centralizada'!$E$6:$E$24)+SUMIF('11.1 Panel Analítico de Torcly'!$D$6:$D$24,A41,'11.1 Panel Analítico de Torcly'!$E$6:$E$24)+SUMIF('12.1 Motor de Apoyo a Reposició'!$D$6:$D$24,A41,'12.1 Motor de Apoyo a Reposició'!$E$6:$E$24)+SUMIF('13.1 Aseguramiento de Calidad'!$D$6:$D$24,A41,'13.1 Aseguramiento de Calidad'!$E$6:$E$24)+SUMIF('13.2 Implementación'!$D$6:$D$24,A41,'13.2 Implementación'!$E$6:$E$24)+SUMIF('13.3 Transferencia de Conocimie'!$D$6:$D$24,A41,'13.3 Transferencia de Conocimie'!$E$6:$E$24)+SUMIF('13.4 Cierre del Proyecto'!$D$6:$D$24,A41,'13.4 Cierre del Proyecto'!$E$6:$E$24)</f>
        <v>143</v>
      </c>
      <c r="C41" s="3">
        <f>Supuestos!$E$8</f>
        <v>21.875</v>
      </c>
      <c r="D41" s="25">
        <f>B41*C41</f>
        <v>3128.125</v>
      </c>
      <c r="E41" s="44"/>
      <c r="F41" s="44"/>
      <c r="G41" s="44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83" t="s">
        <v>92</v>
      </c>
      <c r="B42" s="84"/>
      <c r="C42" s="84"/>
      <c r="D42" s="26">
        <f>SUM(D37:D41)</f>
        <v>17158.3</v>
      </c>
      <c r="E42" s="44"/>
      <c r="F42" s="44"/>
      <c r="G42" s="44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/>
      <c r="B43" s="2"/>
      <c r="C43" s="2"/>
      <c r="D43" s="44"/>
      <c r="E43" s="44"/>
      <c r="F43" s="44"/>
      <c r="G43" s="44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D44" s="48"/>
      <c r="E44" s="48"/>
      <c r="F44" s="48"/>
      <c r="G44" s="48"/>
    </row>
    <row r="45" spans="1:16">
      <c r="D45" s="48"/>
      <c r="E45" s="48"/>
      <c r="F45" s="48"/>
      <c r="G45" s="48"/>
    </row>
  </sheetData>
  <mergeCells count="7">
    <mergeCell ref="A42:C42"/>
    <mergeCell ref="F35:H35"/>
    <mergeCell ref="A1:H1"/>
    <mergeCell ref="A30:F30"/>
    <mergeCell ref="A31:F31"/>
    <mergeCell ref="A32:F32"/>
    <mergeCell ref="A35:D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/>
  </sheetViews>
  <sheetFormatPr baseColWidth="10" defaultColWidth="8.796875" defaultRowHeight="13.8"/>
  <cols>
    <col min="1" max="1" width="30" customWidth="1"/>
    <col min="2" max="2" width="24" customWidth="1"/>
    <col min="3" max="5" width="18" customWidth="1"/>
    <col min="6" max="6" width="58" customWidth="1"/>
  </cols>
  <sheetData>
    <row r="1" spans="1:6" ht="17.399999999999999">
      <c r="A1" s="87" t="s">
        <v>93</v>
      </c>
      <c r="B1" s="88"/>
      <c r="C1" s="88"/>
      <c r="D1" s="88"/>
      <c r="E1" s="89"/>
      <c r="F1" s="90"/>
    </row>
    <row r="2" spans="1:6">
      <c r="A2" s="36"/>
      <c r="B2" s="37"/>
      <c r="C2" s="37"/>
      <c r="D2" s="37"/>
      <c r="E2" s="55"/>
      <c r="F2" s="56"/>
    </row>
    <row r="3" spans="1:6" ht="27.6">
      <c r="A3" s="57" t="s">
        <v>72</v>
      </c>
      <c r="B3" s="58" t="s">
        <v>94</v>
      </c>
      <c r="C3" s="58" t="s">
        <v>95</v>
      </c>
      <c r="D3" s="58" t="s">
        <v>96</v>
      </c>
      <c r="E3" s="59" t="s">
        <v>97</v>
      </c>
      <c r="F3" s="60" t="s">
        <v>98</v>
      </c>
    </row>
    <row r="4" spans="1:6" ht="27.6">
      <c r="A4" s="36" t="s">
        <v>79</v>
      </c>
      <c r="B4" s="37" t="s">
        <v>99</v>
      </c>
      <c r="C4" s="61">
        <v>4484</v>
      </c>
      <c r="D4" s="62">
        <v>160</v>
      </c>
      <c r="E4" s="62">
        <f>C4/D4</f>
        <v>28.024999999999999</v>
      </c>
      <c r="F4" s="63" t="s">
        <v>100</v>
      </c>
    </row>
    <row r="5" spans="1:6" ht="27.6">
      <c r="A5" s="36" t="s">
        <v>82</v>
      </c>
      <c r="B5" s="37" t="s">
        <v>101</v>
      </c>
      <c r="C5" s="61">
        <v>3968</v>
      </c>
      <c r="D5" s="62">
        <v>160</v>
      </c>
      <c r="E5" s="62">
        <f>C5/D5</f>
        <v>24.8</v>
      </c>
      <c r="F5" s="63" t="s">
        <v>102</v>
      </c>
    </row>
    <row r="6" spans="1:6" ht="41.4">
      <c r="A6" s="36" t="s">
        <v>85</v>
      </c>
      <c r="B6" s="37" t="s">
        <v>103</v>
      </c>
      <c r="C6" s="61">
        <v>3500</v>
      </c>
      <c r="D6" s="62">
        <v>160</v>
      </c>
      <c r="E6" s="62">
        <f>C6/D6</f>
        <v>21.875</v>
      </c>
      <c r="F6" s="63" t="s">
        <v>104</v>
      </c>
    </row>
    <row r="7" spans="1:6" ht="27.6">
      <c r="A7" s="36" t="s">
        <v>88</v>
      </c>
      <c r="B7" s="37" t="s">
        <v>105</v>
      </c>
      <c r="C7" s="61">
        <v>3832</v>
      </c>
      <c r="D7" s="62">
        <v>160</v>
      </c>
      <c r="E7" s="62">
        <f>C7/D7</f>
        <v>23.95</v>
      </c>
      <c r="F7" s="63" t="s">
        <v>106</v>
      </c>
    </row>
    <row r="8" spans="1:6" ht="41.4">
      <c r="A8" s="36" t="s">
        <v>91</v>
      </c>
      <c r="B8" s="37" t="s">
        <v>103</v>
      </c>
      <c r="C8" s="61">
        <v>3500</v>
      </c>
      <c r="D8" s="62">
        <v>160</v>
      </c>
      <c r="E8" s="62">
        <f>C8/D8</f>
        <v>21.875</v>
      </c>
      <c r="F8" s="63" t="s">
        <v>104</v>
      </c>
    </row>
    <row r="9" spans="1:6" ht="33.6" customHeight="1">
      <c r="A9" s="94" t="s">
        <v>107</v>
      </c>
      <c r="B9" s="95"/>
      <c r="C9" s="95"/>
      <c r="D9" s="95"/>
      <c r="E9" s="95"/>
      <c r="F9" s="96"/>
    </row>
    <row r="10" spans="1:6">
      <c r="A10" s="67" t="s">
        <v>108</v>
      </c>
      <c r="B10" s="68" t="s">
        <v>109</v>
      </c>
      <c r="C10" s="68" t="s">
        <v>110</v>
      </c>
      <c r="D10" s="68" t="s">
        <v>98</v>
      </c>
      <c r="E10" s="55"/>
      <c r="F10" s="56"/>
    </row>
    <row r="11" spans="1:6" ht="69">
      <c r="A11" s="36" t="s">
        <v>16</v>
      </c>
      <c r="B11" s="61">
        <v>1200</v>
      </c>
      <c r="C11" s="37" t="s">
        <v>111</v>
      </c>
      <c r="D11" s="37" t="s">
        <v>112</v>
      </c>
      <c r="E11" s="55"/>
      <c r="F11" s="56"/>
    </row>
    <row r="12" spans="1:6" ht="69">
      <c r="A12" s="36" t="s">
        <v>19</v>
      </c>
      <c r="B12" s="61">
        <v>1000</v>
      </c>
      <c r="C12" s="37" t="s">
        <v>113</v>
      </c>
      <c r="D12" s="37" t="s">
        <v>114</v>
      </c>
      <c r="E12" s="55"/>
      <c r="F12" s="56"/>
    </row>
    <row r="13" spans="1:6" ht="82.8">
      <c r="A13" s="36" t="s">
        <v>22</v>
      </c>
      <c r="B13" s="61">
        <v>800</v>
      </c>
      <c r="C13" s="37" t="s">
        <v>115</v>
      </c>
      <c r="D13" s="37" t="s">
        <v>116</v>
      </c>
      <c r="E13" s="55"/>
      <c r="F13" s="56"/>
    </row>
    <row r="14" spans="1:6" ht="82.8">
      <c r="A14" s="36" t="s">
        <v>25</v>
      </c>
      <c r="B14" s="61">
        <v>1000</v>
      </c>
      <c r="C14" s="37" t="s">
        <v>117</v>
      </c>
      <c r="D14" s="37" t="s">
        <v>118</v>
      </c>
      <c r="E14" s="55"/>
      <c r="F14" s="56"/>
    </row>
    <row r="15" spans="1:6" ht="69">
      <c r="A15" s="36" t="s">
        <v>28</v>
      </c>
      <c r="B15" s="69">
        <v>0.08</v>
      </c>
      <c r="C15" s="37" t="s">
        <v>119</v>
      </c>
      <c r="D15" s="37" t="s">
        <v>120</v>
      </c>
      <c r="E15" s="55"/>
      <c r="F15" s="56"/>
    </row>
    <row r="16" spans="1:6">
      <c r="A16" s="36"/>
      <c r="B16" s="37"/>
      <c r="C16" s="37"/>
      <c r="D16" s="37"/>
      <c r="E16" s="55"/>
      <c r="F16" s="56"/>
    </row>
    <row r="17" spans="1:6">
      <c r="A17" s="64" t="s">
        <v>121</v>
      </c>
      <c r="B17" s="65" t="s">
        <v>122</v>
      </c>
      <c r="C17" s="65" t="s">
        <v>123</v>
      </c>
      <c r="D17" s="65" t="s">
        <v>124</v>
      </c>
      <c r="E17" s="55"/>
      <c r="F17" s="56"/>
    </row>
    <row r="18" spans="1:6" ht="27.6">
      <c r="A18" s="36" t="s">
        <v>125</v>
      </c>
      <c r="B18" s="66">
        <v>8</v>
      </c>
      <c r="C18" s="37" t="s">
        <v>126</v>
      </c>
      <c r="D18" s="37" t="s">
        <v>127</v>
      </c>
      <c r="E18" s="55"/>
      <c r="F18" s="56"/>
    </row>
    <row r="19" spans="1:6" ht="27.6">
      <c r="A19" s="36" t="s">
        <v>128</v>
      </c>
      <c r="B19" s="66">
        <v>4</v>
      </c>
      <c r="C19" s="37" t="s">
        <v>126</v>
      </c>
      <c r="D19" s="37" t="s">
        <v>129</v>
      </c>
      <c r="E19" s="55"/>
      <c r="F19" s="56"/>
    </row>
    <row r="20" spans="1:6" ht="55.2">
      <c r="A20" s="36" t="s">
        <v>130</v>
      </c>
      <c r="B20" s="66">
        <v>0</v>
      </c>
      <c r="C20" s="37" t="s">
        <v>126</v>
      </c>
      <c r="D20" s="37" t="s">
        <v>131</v>
      </c>
      <c r="E20" s="55"/>
      <c r="F20" s="56"/>
    </row>
    <row r="21" spans="1:6">
      <c r="A21" s="36"/>
      <c r="B21" s="37"/>
      <c r="C21" s="37"/>
      <c r="D21" s="37"/>
      <c r="E21" s="55"/>
      <c r="F21" s="56"/>
    </row>
    <row r="22" spans="1:6" ht="35.25" customHeight="1">
      <c r="A22" s="91" t="s">
        <v>132</v>
      </c>
      <c r="B22" s="92"/>
      <c r="C22" s="92"/>
      <c r="D22" s="92"/>
      <c r="E22" s="92"/>
      <c r="F22" s="93"/>
    </row>
  </sheetData>
  <mergeCells count="3">
    <mergeCell ref="A1:F1"/>
    <mergeCell ref="A22:F22"/>
    <mergeCell ref="A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134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 ht="27.6">
      <c r="B6" s="108" t="s">
        <v>152</v>
      </c>
      <c r="C6" s="109" t="s">
        <v>153</v>
      </c>
      <c r="D6" s="6" t="s">
        <v>79</v>
      </c>
      <c r="E6" s="33">
        <v>8</v>
      </c>
      <c r="F6" s="3">
        <f>Supuestos!$E$4</f>
        <v>28.024999999999999</v>
      </c>
      <c r="G6" s="34">
        <f>E6*F6</f>
        <v>224.2</v>
      </c>
      <c r="H6" s="6"/>
      <c r="I6" s="35"/>
      <c r="J6" s="35"/>
      <c r="K6" s="35"/>
      <c r="L6" s="49"/>
      <c r="M6" s="6"/>
      <c r="N6" s="35"/>
      <c r="O6" s="35"/>
      <c r="P6" s="50"/>
    </row>
    <row r="7" spans="2:16">
      <c r="B7" s="108"/>
      <c r="C7" s="109"/>
      <c r="D7" s="6"/>
      <c r="E7" s="33"/>
      <c r="F7" s="35"/>
      <c r="G7" s="49"/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224.2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224.2</v>
      </c>
    </row>
    <row r="13" spans="2:16">
      <c r="B13" s="110"/>
      <c r="C13" s="111"/>
      <c r="D13" s="6"/>
      <c r="E13" s="33"/>
      <c r="F13" s="35"/>
      <c r="G13" s="49"/>
      <c r="H13" s="6"/>
      <c r="I13" s="35"/>
      <c r="J13" s="35"/>
      <c r="K13" s="35"/>
      <c r="L13" s="49"/>
      <c r="M13" s="6"/>
      <c r="N13" s="35"/>
      <c r="O13" s="35"/>
      <c r="P13" s="50"/>
    </row>
    <row r="14" spans="2:16">
      <c r="B14" s="110"/>
      <c r="C14" s="111"/>
      <c r="D14" s="6"/>
      <c r="E14" s="33"/>
      <c r="F14" s="35"/>
      <c r="G14" s="49"/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10"/>
      <c r="C15" s="111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10"/>
      <c r="C16" s="111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10"/>
      <c r="C17" s="111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0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0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224.2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224.2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159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 ht="27.6">
      <c r="B6" s="108" t="s">
        <v>160</v>
      </c>
      <c r="C6" s="109" t="s">
        <v>161</v>
      </c>
      <c r="D6" s="6" t="s">
        <v>79</v>
      </c>
      <c r="E6" s="33">
        <v>16</v>
      </c>
      <c r="F6" s="3">
        <f>Supuestos!$E$4</f>
        <v>28.024999999999999</v>
      </c>
      <c r="G6" s="34">
        <f>E6*F6</f>
        <v>448.4</v>
      </c>
      <c r="H6" s="6"/>
      <c r="I6" s="35"/>
      <c r="J6" s="35"/>
      <c r="K6" s="35"/>
      <c r="L6" s="49"/>
      <c r="M6" s="6"/>
      <c r="N6" s="35"/>
      <c r="O6" s="35"/>
      <c r="P6" s="50"/>
    </row>
    <row r="7" spans="2:16">
      <c r="B7" s="108"/>
      <c r="C7" s="109"/>
      <c r="D7" s="6"/>
      <c r="E7" s="33"/>
      <c r="F7" s="35"/>
      <c r="G7" s="49"/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448.4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448.4</v>
      </c>
    </row>
    <row r="13" spans="2:16" ht="27.6">
      <c r="B13" s="108" t="s">
        <v>162</v>
      </c>
      <c r="C13" s="109" t="s">
        <v>163</v>
      </c>
      <c r="D13" s="6" t="s">
        <v>79</v>
      </c>
      <c r="E13" s="33">
        <v>12</v>
      </c>
      <c r="F13" s="3">
        <f>Supuestos!$E$4</f>
        <v>28.024999999999999</v>
      </c>
      <c r="G13" s="34">
        <f>E13*F13</f>
        <v>336.29999999999995</v>
      </c>
      <c r="H13" s="6"/>
      <c r="I13" s="35"/>
      <c r="J13" s="35"/>
      <c r="K13" s="35"/>
      <c r="L13" s="49"/>
      <c r="M13" s="6" t="s">
        <v>164</v>
      </c>
      <c r="N13" s="35">
        <v>1</v>
      </c>
      <c r="O13" s="35">
        <v>200</v>
      </c>
      <c r="P13" s="50">
        <f>N13*O13</f>
        <v>200</v>
      </c>
    </row>
    <row r="14" spans="2:16">
      <c r="B14" s="108"/>
      <c r="C14" s="109"/>
      <c r="D14" s="6"/>
      <c r="E14" s="33"/>
      <c r="F14" s="35"/>
      <c r="G14" s="49"/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08"/>
      <c r="C15" s="109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08"/>
      <c r="C16" s="109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08"/>
      <c r="C17" s="109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336.29999999999995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200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536.29999999999995</v>
      </c>
    </row>
    <row r="20" spans="2:16" ht="27.6">
      <c r="B20" s="108" t="s">
        <v>165</v>
      </c>
      <c r="C20" s="109" t="s">
        <v>166</v>
      </c>
      <c r="D20" s="6" t="s">
        <v>79</v>
      </c>
      <c r="E20" s="33">
        <v>8</v>
      </c>
      <c r="F20" s="3">
        <f>Supuestos!$E$4</f>
        <v>28.024999999999999</v>
      </c>
      <c r="G20" s="34">
        <f>E20*F20</f>
        <v>224.2</v>
      </c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08"/>
      <c r="C21" s="109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08"/>
      <c r="C22" s="109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08"/>
      <c r="C23" s="109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08"/>
      <c r="C24" s="109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224.2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224.2</v>
      </c>
    </row>
    <row r="27" spans="2:16">
      <c r="B27" s="103" t="s">
        <v>156</v>
      </c>
      <c r="C27" s="104"/>
      <c r="D27" s="45">
        <f>SUM(G11,G18,G25)</f>
        <v>1008.8999999999999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200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1208.8999999999999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167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168</v>
      </c>
      <c r="C6" s="109" t="s">
        <v>169</v>
      </c>
      <c r="D6" s="6" t="s">
        <v>82</v>
      </c>
      <c r="E6" s="33">
        <v>12</v>
      </c>
      <c r="F6" s="3">
        <f>Supuestos!$E$5</f>
        <v>24.8</v>
      </c>
      <c r="G6" s="34">
        <f>E6*F6</f>
        <v>297.60000000000002</v>
      </c>
      <c r="H6" s="6"/>
      <c r="I6" s="35"/>
      <c r="J6" s="35"/>
      <c r="K6" s="35"/>
      <c r="L6" s="49"/>
      <c r="M6" s="6"/>
      <c r="N6" s="35"/>
      <c r="O6" s="35"/>
      <c r="P6" s="50"/>
    </row>
    <row r="7" spans="2:16">
      <c r="B7" s="108"/>
      <c r="C7" s="109"/>
      <c r="D7" s="6"/>
      <c r="E7" s="33"/>
      <c r="F7" s="35"/>
      <c r="G7" s="49"/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297.60000000000002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297.60000000000002</v>
      </c>
    </row>
    <row r="13" spans="2:16">
      <c r="B13" s="110"/>
      <c r="C13" s="111"/>
      <c r="D13" s="6"/>
      <c r="E13" s="33"/>
      <c r="F13" s="35"/>
      <c r="G13" s="49"/>
      <c r="H13" s="6"/>
      <c r="I13" s="35"/>
      <c r="J13" s="35"/>
      <c r="K13" s="35"/>
      <c r="L13" s="49"/>
      <c r="M13" s="6"/>
      <c r="N13" s="35"/>
      <c r="O13" s="35"/>
      <c r="P13" s="50"/>
    </row>
    <row r="14" spans="2:16">
      <c r="B14" s="110"/>
      <c r="C14" s="111"/>
      <c r="D14" s="6"/>
      <c r="E14" s="33"/>
      <c r="F14" s="35"/>
      <c r="G14" s="49"/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10"/>
      <c r="C15" s="111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10"/>
      <c r="C16" s="111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10"/>
      <c r="C17" s="111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0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0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297.60000000000002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297.60000000000002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170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171</v>
      </c>
      <c r="C6" s="109" t="s">
        <v>172</v>
      </c>
      <c r="D6" s="6" t="s">
        <v>82</v>
      </c>
      <c r="E6" s="33">
        <v>20</v>
      </c>
      <c r="F6" s="3">
        <f>Supuestos!$E$5</f>
        <v>24.8</v>
      </c>
      <c r="G6" s="34">
        <f>E6*F6</f>
        <v>496</v>
      </c>
      <c r="H6" s="6"/>
      <c r="I6" s="35"/>
      <c r="J6" s="35"/>
      <c r="K6" s="35"/>
      <c r="L6" s="49"/>
      <c r="M6" s="6"/>
      <c r="N6" s="35"/>
      <c r="O6" s="35"/>
      <c r="P6" s="50"/>
    </row>
    <row r="7" spans="2:16" ht="27.6">
      <c r="B7" s="108"/>
      <c r="C7" s="109"/>
      <c r="D7" s="6" t="s">
        <v>79</v>
      </c>
      <c r="E7" s="33">
        <v>4</v>
      </c>
      <c r="F7" s="3">
        <f>Supuestos!$E$4</f>
        <v>28.024999999999999</v>
      </c>
      <c r="G7" s="34">
        <f>E7*F7</f>
        <v>112.1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608.1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608.1</v>
      </c>
    </row>
    <row r="13" spans="2:16">
      <c r="B13" s="110"/>
      <c r="C13" s="111"/>
      <c r="D13" s="6"/>
      <c r="E13" s="33"/>
      <c r="F13" s="35"/>
      <c r="G13" s="49"/>
      <c r="H13" s="6"/>
      <c r="I13" s="35"/>
      <c r="J13" s="35"/>
      <c r="K13" s="35"/>
      <c r="L13" s="49"/>
      <c r="M13" s="6"/>
      <c r="N13" s="35"/>
      <c r="O13" s="35"/>
      <c r="P13" s="50"/>
    </row>
    <row r="14" spans="2:16">
      <c r="B14" s="110"/>
      <c r="C14" s="111"/>
      <c r="D14" s="6"/>
      <c r="E14" s="33"/>
      <c r="F14" s="35"/>
      <c r="G14" s="49"/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10"/>
      <c r="C15" s="111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10"/>
      <c r="C16" s="111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10"/>
      <c r="C17" s="111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0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0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608.1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608.1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173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174</v>
      </c>
      <c r="C6" s="109" t="s">
        <v>175</v>
      </c>
      <c r="D6" s="6" t="s">
        <v>85</v>
      </c>
      <c r="E6" s="33">
        <v>8</v>
      </c>
      <c r="F6" s="3">
        <f>Supuestos!$E$6</f>
        <v>21.875</v>
      </c>
      <c r="G6" s="34">
        <f>E6*F6</f>
        <v>175</v>
      </c>
      <c r="H6" s="6"/>
      <c r="I6" s="35"/>
      <c r="J6" s="35"/>
      <c r="K6" s="35"/>
      <c r="L6" s="49"/>
      <c r="M6" s="6"/>
      <c r="N6" s="35"/>
      <c r="O6" s="35"/>
      <c r="P6" s="50"/>
    </row>
    <row r="7" spans="2:16">
      <c r="B7" s="108"/>
      <c r="C7" s="109"/>
      <c r="D7" s="6" t="s">
        <v>91</v>
      </c>
      <c r="E7" s="33">
        <v>12</v>
      </c>
      <c r="F7" s="3">
        <f>Supuestos!$E$8</f>
        <v>21.875</v>
      </c>
      <c r="G7" s="34">
        <f>E7*F7</f>
        <v>262.5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 t="s">
        <v>88</v>
      </c>
      <c r="E8" s="33">
        <v>8</v>
      </c>
      <c r="F8" s="3">
        <f>Supuestos!$E$7</f>
        <v>23.95</v>
      </c>
      <c r="G8" s="34">
        <f>E8*F8</f>
        <v>191.6</v>
      </c>
      <c r="H8" s="6"/>
      <c r="I8" s="35"/>
      <c r="J8" s="35"/>
      <c r="K8" s="35"/>
      <c r="L8" s="49"/>
      <c r="M8" s="6"/>
      <c r="N8" s="35"/>
      <c r="O8" s="35"/>
      <c r="P8" s="50"/>
    </row>
    <row r="9" spans="2:16" ht="27.6">
      <c r="B9" s="108"/>
      <c r="C9" s="109"/>
      <c r="D9" s="6" t="s">
        <v>79</v>
      </c>
      <c r="E9" s="33">
        <v>4</v>
      </c>
      <c r="F9" s="3">
        <f>Supuestos!$E$4</f>
        <v>28.024999999999999</v>
      </c>
      <c r="G9" s="34">
        <f>E9*F9</f>
        <v>112.1</v>
      </c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741.2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741.2</v>
      </c>
    </row>
    <row r="13" spans="2:16">
      <c r="B13" s="110"/>
      <c r="C13" s="111"/>
      <c r="D13" s="6"/>
      <c r="E13" s="33"/>
      <c r="F13" s="35"/>
      <c r="G13" s="49"/>
      <c r="H13" s="6"/>
      <c r="I13" s="35"/>
      <c r="J13" s="35"/>
      <c r="K13" s="35"/>
      <c r="L13" s="49"/>
      <c r="M13" s="6"/>
      <c r="N13" s="35"/>
      <c r="O13" s="35"/>
      <c r="P13" s="50"/>
    </row>
    <row r="14" spans="2:16">
      <c r="B14" s="110"/>
      <c r="C14" s="111"/>
      <c r="D14" s="6"/>
      <c r="E14" s="33"/>
      <c r="F14" s="35"/>
      <c r="G14" s="49"/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10"/>
      <c r="C15" s="111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10"/>
      <c r="C16" s="111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10"/>
      <c r="C17" s="111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0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0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741.2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741.2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176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177</v>
      </c>
      <c r="C6" s="109" t="s">
        <v>178</v>
      </c>
      <c r="D6" s="6" t="s">
        <v>88</v>
      </c>
      <c r="E6" s="33">
        <v>24</v>
      </c>
      <c r="F6" s="3">
        <f>Supuestos!$E$7</f>
        <v>23.95</v>
      </c>
      <c r="G6" s="34">
        <f>E6*F6</f>
        <v>574.79999999999995</v>
      </c>
      <c r="H6" s="6"/>
      <c r="I6" s="35"/>
      <c r="J6" s="35"/>
      <c r="K6" s="35"/>
      <c r="L6" s="49"/>
      <c r="M6" s="6"/>
      <c r="N6" s="35"/>
      <c r="O6" s="35"/>
      <c r="P6" s="50"/>
    </row>
    <row r="7" spans="2:16" ht="27.6">
      <c r="B7" s="108"/>
      <c r="C7" s="109"/>
      <c r="D7" s="6" t="s">
        <v>79</v>
      </c>
      <c r="E7" s="33">
        <v>4</v>
      </c>
      <c r="F7" s="3">
        <f>Supuestos!$E$4</f>
        <v>28.024999999999999</v>
      </c>
      <c r="G7" s="34">
        <f>E7*F7</f>
        <v>112.1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686.9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686.9</v>
      </c>
    </row>
    <row r="13" spans="2:16">
      <c r="B13" s="110"/>
      <c r="C13" s="111"/>
      <c r="D13" s="6"/>
      <c r="E13" s="33"/>
      <c r="F13" s="35"/>
      <c r="G13" s="49"/>
      <c r="H13" s="6"/>
      <c r="I13" s="35"/>
      <c r="J13" s="35"/>
      <c r="K13" s="35"/>
      <c r="L13" s="49"/>
      <c r="M13" s="6"/>
      <c r="N13" s="35"/>
      <c r="O13" s="35"/>
      <c r="P13" s="50"/>
    </row>
    <row r="14" spans="2:16">
      <c r="B14" s="110"/>
      <c r="C14" s="111"/>
      <c r="D14" s="6"/>
      <c r="E14" s="33"/>
      <c r="F14" s="35"/>
      <c r="G14" s="49"/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10"/>
      <c r="C15" s="111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10"/>
      <c r="C16" s="111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10"/>
      <c r="C17" s="111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0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0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686.9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686.9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179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180</v>
      </c>
      <c r="C6" s="109" t="s">
        <v>181</v>
      </c>
      <c r="D6" s="6" t="s">
        <v>85</v>
      </c>
      <c r="E6" s="33">
        <v>18</v>
      </c>
      <c r="F6" s="3">
        <f>Supuestos!$E$6</f>
        <v>21.875</v>
      </c>
      <c r="G6" s="34">
        <f>E6*F6</f>
        <v>393.75</v>
      </c>
      <c r="H6" s="6"/>
      <c r="I6" s="35"/>
      <c r="J6" s="35"/>
      <c r="K6" s="35"/>
      <c r="L6" s="49"/>
      <c r="M6" s="6" t="s">
        <v>182</v>
      </c>
      <c r="N6" s="35">
        <v>1</v>
      </c>
      <c r="O6" s="35">
        <v>200</v>
      </c>
      <c r="P6" s="50">
        <f>N6*O6</f>
        <v>200</v>
      </c>
    </row>
    <row r="7" spans="2:16" ht="27.6">
      <c r="B7" s="108"/>
      <c r="C7" s="109"/>
      <c r="D7" s="6" t="s">
        <v>79</v>
      </c>
      <c r="E7" s="33">
        <v>2</v>
      </c>
      <c r="F7" s="3">
        <f>Supuestos!$E$4</f>
        <v>28.024999999999999</v>
      </c>
      <c r="G7" s="34">
        <f>E7*F7</f>
        <v>56.05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449.8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200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649.79999999999995</v>
      </c>
    </row>
    <row r="13" spans="2:16">
      <c r="B13" s="110"/>
      <c r="C13" s="111"/>
      <c r="D13" s="6"/>
      <c r="E13" s="33"/>
      <c r="F13" s="35"/>
      <c r="G13" s="49"/>
      <c r="H13" s="6"/>
      <c r="I13" s="35"/>
      <c r="J13" s="35"/>
      <c r="K13" s="35"/>
      <c r="L13" s="49"/>
      <c r="M13" s="6"/>
      <c r="N13" s="35"/>
      <c r="O13" s="35"/>
      <c r="P13" s="50"/>
    </row>
    <row r="14" spans="2:16">
      <c r="B14" s="110"/>
      <c r="C14" s="111"/>
      <c r="D14" s="6"/>
      <c r="E14" s="33"/>
      <c r="F14" s="35"/>
      <c r="G14" s="49"/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10"/>
      <c r="C15" s="111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10"/>
      <c r="C16" s="111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10"/>
      <c r="C17" s="111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0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0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449.8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200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649.79999999999995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183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184</v>
      </c>
      <c r="C6" s="109" t="s">
        <v>185</v>
      </c>
      <c r="D6" s="6" t="s">
        <v>85</v>
      </c>
      <c r="E6" s="33">
        <v>10</v>
      </c>
      <c r="F6" s="3">
        <f>Supuestos!$E$6</f>
        <v>21.875</v>
      </c>
      <c r="G6" s="34">
        <f>E6*F6</f>
        <v>218.75</v>
      </c>
      <c r="H6" s="6"/>
      <c r="I6" s="35"/>
      <c r="J6" s="35"/>
      <c r="K6" s="35"/>
      <c r="L6" s="49"/>
      <c r="M6" s="6"/>
      <c r="N6" s="35"/>
      <c r="O6" s="35"/>
      <c r="P6" s="50"/>
    </row>
    <row r="7" spans="2:16" ht="27.6">
      <c r="B7" s="108"/>
      <c r="C7" s="109"/>
      <c r="D7" s="6" t="s">
        <v>79</v>
      </c>
      <c r="E7" s="33">
        <v>2</v>
      </c>
      <c r="F7" s="3">
        <f>Supuestos!$E$4</f>
        <v>28.024999999999999</v>
      </c>
      <c r="G7" s="34">
        <f>E7*F7</f>
        <v>56.05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274.8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274.8</v>
      </c>
    </row>
    <row r="13" spans="2:16">
      <c r="B13" s="108" t="s">
        <v>186</v>
      </c>
      <c r="C13" s="109" t="s">
        <v>187</v>
      </c>
      <c r="D13" s="6" t="s">
        <v>91</v>
      </c>
      <c r="E13" s="33">
        <v>22</v>
      </c>
      <c r="F13" s="3">
        <f>Supuestos!$E$8</f>
        <v>21.875</v>
      </c>
      <c r="G13" s="34">
        <f>E13*F13</f>
        <v>481.25</v>
      </c>
      <c r="H13" s="6"/>
      <c r="I13" s="35"/>
      <c r="J13" s="35"/>
      <c r="K13" s="35"/>
      <c r="L13" s="49"/>
      <c r="M13" s="6"/>
      <c r="N13" s="35"/>
      <c r="O13" s="35"/>
      <c r="P13" s="50"/>
    </row>
    <row r="14" spans="2:16" ht="27.6">
      <c r="B14" s="108"/>
      <c r="C14" s="109"/>
      <c r="D14" s="6" t="s">
        <v>79</v>
      </c>
      <c r="E14" s="33">
        <v>6</v>
      </c>
      <c r="F14" s="3">
        <f>Supuestos!$E$4</f>
        <v>28.024999999999999</v>
      </c>
      <c r="G14" s="34">
        <f>E14*F14</f>
        <v>168.14999999999998</v>
      </c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08"/>
      <c r="C15" s="109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08"/>
      <c r="C16" s="109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08"/>
      <c r="C17" s="109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649.4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649.4</v>
      </c>
    </row>
    <row r="20" spans="2:16">
      <c r="B20" s="108" t="s">
        <v>188</v>
      </c>
      <c r="C20" s="109" t="s">
        <v>189</v>
      </c>
      <c r="D20" s="6" t="s">
        <v>85</v>
      </c>
      <c r="E20" s="33">
        <v>12</v>
      </c>
      <c r="F20" s="3">
        <f>Supuestos!$E$6</f>
        <v>21.875</v>
      </c>
      <c r="G20" s="34">
        <f>E20*F20</f>
        <v>262.5</v>
      </c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08"/>
      <c r="C21" s="109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08"/>
      <c r="C22" s="109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08"/>
      <c r="C23" s="109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08"/>
      <c r="C24" s="109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262.5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262.5</v>
      </c>
    </row>
    <row r="27" spans="2:16">
      <c r="B27" s="103" t="s">
        <v>156</v>
      </c>
      <c r="C27" s="104"/>
      <c r="D27" s="45">
        <f>SUM(G11,G18,G25)</f>
        <v>1186.7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1186.7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190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191</v>
      </c>
      <c r="C6" s="109" t="s">
        <v>192</v>
      </c>
      <c r="D6" s="6" t="s">
        <v>85</v>
      </c>
      <c r="E6" s="33">
        <v>11</v>
      </c>
      <c r="F6" s="3">
        <f>Supuestos!$E$6</f>
        <v>21.875</v>
      </c>
      <c r="G6" s="34">
        <f>E6*F6</f>
        <v>240.625</v>
      </c>
      <c r="H6" s="6"/>
      <c r="I6" s="35"/>
      <c r="J6" s="35"/>
      <c r="K6" s="35"/>
      <c r="L6" s="49"/>
      <c r="M6" s="6"/>
      <c r="N6" s="35"/>
      <c r="O6" s="35"/>
      <c r="P6" s="50"/>
    </row>
    <row r="7" spans="2:16" ht="27.6">
      <c r="B7" s="108"/>
      <c r="C7" s="109"/>
      <c r="D7" s="6" t="s">
        <v>79</v>
      </c>
      <c r="E7" s="33">
        <v>1</v>
      </c>
      <c r="F7" s="3">
        <f>Supuestos!$E$4</f>
        <v>28.024999999999999</v>
      </c>
      <c r="G7" s="34">
        <f>E7*F7</f>
        <v>28.024999999999999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268.64999999999998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268.64999999999998</v>
      </c>
    </row>
    <row r="13" spans="2:16">
      <c r="B13" s="108" t="s">
        <v>193</v>
      </c>
      <c r="C13" s="109" t="s">
        <v>194</v>
      </c>
      <c r="D13" s="6" t="s">
        <v>91</v>
      </c>
      <c r="E13" s="33">
        <v>6</v>
      </c>
      <c r="F13" s="3">
        <f>Supuestos!$E$8</f>
        <v>21.875</v>
      </c>
      <c r="G13" s="34">
        <f>E13*F13</f>
        <v>131.25</v>
      </c>
      <c r="H13" s="6"/>
      <c r="I13" s="35"/>
      <c r="J13" s="35"/>
      <c r="K13" s="35"/>
      <c r="L13" s="49"/>
      <c r="M13" s="6"/>
      <c r="N13" s="35"/>
      <c r="O13" s="35"/>
      <c r="P13" s="50"/>
    </row>
    <row r="14" spans="2:16">
      <c r="B14" s="108"/>
      <c r="C14" s="109"/>
      <c r="D14" s="6" t="s">
        <v>82</v>
      </c>
      <c r="E14" s="33">
        <v>4</v>
      </c>
      <c r="F14" s="3">
        <f>Supuestos!$E$5</f>
        <v>24.8</v>
      </c>
      <c r="G14" s="34">
        <f>E14*F14</f>
        <v>99.2</v>
      </c>
      <c r="H14" s="6"/>
      <c r="I14" s="35"/>
      <c r="J14" s="35"/>
      <c r="K14" s="35"/>
      <c r="L14" s="49"/>
      <c r="M14" s="6"/>
      <c r="N14" s="35"/>
      <c r="O14" s="35"/>
      <c r="P14" s="50"/>
    </row>
    <row r="15" spans="2:16" ht="27.6">
      <c r="B15" s="108"/>
      <c r="C15" s="109"/>
      <c r="D15" s="6" t="s">
        <v>79</v>
      </c>
      <c r="E15" s="33">
        <v>2</v>
      </c>
      <c r="F15" s="3">
        <f>Supuestos!$E$4</f>
        <v>28.024999999999999</v>
      </c>
      <c r="G15" s="34">
        <f>E15*F15</f>
        <v>56.05</v>
      </c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08"/>
      <c r="C16" s="109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08"/>
      <c r="C17" s="109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286.5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286.5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555.15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555.15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195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196</v>
      </c>
      <c r="C6" s="109" t="s">
        <v>197</v>
      </c>
      <c r="D6" s="6" t="s">
        <v>85</v>
      </c>
      <c r="E6" s="33">
        <v>11</v>
      </c>
      <c r="F6" s="3">
        <f>Supuestos!$E$6</f>
        <v>21.875</v>
      </c>
      <c r="G6" s="34">
        <f>E6*F6</f>
        <v>240.625</v>
      </c>
      <c r="H6" s="6"/>
      <c r="I6" s="35"/>
      <c r="J6" s="35"/>
      <c r="K6" s="35"/>
      <c r="L6" s="49"/>
      <c r="M6" s="6"/>
      <c r="N6" s="35"/>
      <c r="O6" s="35"/>
      <c r="P6" s="50"/>
    </row>
    <row r="7" spans="2:16" ht="27.6">
      <c r="B7" s="108"/>
      <c r="C7" s="109"/>
      <c r="D7" s="6" t="s">
        <v>79</v>
      </c>
      <c r="E7" s="33">
        <v>1</v>
      </c>
      <c r="F7" s="3">
        <f>Supuestos!$E$4</f>
        <v>28.024999999999999</v>
      </c>
      <c r="G7" s="34">
        <f>E7*F7</f>
        <v>28.024999999999999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268.64999999999998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268.64999999999998</v>
      </c>
    </row>
    <row r="13" spans="2:16">
      <c r="B13" s="108" t="s">
        <v>198</v>
      </c>
      <c r="C13" s="109" t="s">
        <v>199</v>
      </c>
      <c r="D13" s="6" t="s">
        <v>91</v>
      </c>
      <c r="E13" s="33">
        <v>10</v>
      </c>
      <c r="F13" s="3">
        <f>Supuestos!$E$8</f>
        <v>21.875</v>
      </c>
      <c r="G13" s="34">
        <f>E13*F13</f>
        <v>218.75</v>
      </c>
      <c r="H13" s="6"/>
      <c r="I13" s="35"/>
      <c r="J13" s="35"/>
      <c r="K13" s="35"/>
      <c r="L13" s="49"/>
      <c r="M13" s="6"/>
      <c r="N13" s="35"/>
      <c r="O13" s="35"/>
      <c r="P13" s="50"/>
    </row>
    <row r="14" spans="2:16" ht="27.6">
      <c r="B14" s="108"/>
      <c r="C14" s="109"/>
      <c r="D14" s="6" t="s">
        <v>79</v>
      </c>
      <c r="E14" s="33">
        <v>2</v>
      </c>
      <c r="F14" s="3">
        <f>Supuestos!$E$4</f>
        <v>28.024999999999999</v>
      </c>
      <c r="G14" s="34">
        <f>E14*F14</f>
        <v>56.05</v>
      </c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08"/>
      <c r="C15" s="109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08"/>
      <c r="C16" s="109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08"/>
      <c r="C17" s="109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274.8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274.8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543.45000000000005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543.45000000000005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200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201</v>
      </c>
      <c r="C6" s="109" t="s">
        <v>202</v>
      </c>
      <c r="D6" s="6" t="s">
        <v>88</v>
      </c>
      <c r="E6" s="33">
        <v>10</v>
      </c>
      <c r="F6" s="3">
        <f>Supuestos!$E$7</f>
        <v>23.95</v>
      </c>
      <c r="G6" s="34">
        <f>E6*F6</f>
        <v>239.5</v>
      </c>
      <c r="H6" s="6"/>
      <c r="I6" s="35"/>
      <c r="J6" s="35"/>
      <c r="K6" s="35"/>
      <c r="L6" s="49"/>
      <c r="M6" s="6"/>
      <c r="N6" s="35"/>
      <c r="O6" s="35"/>
      <c r="P6" s="50"/>
    </row>
    <row r="7" spans="2:16" ht="27.6">
      <c r="B7" s="108"/>
      <c r="C7" s="109"/>
      <c r="D7" s="6" t="s">
        <v>79</v>
      </c>
      <c r="E7" s="33">
        <v>2</v>
      </c>
      <c r="F7" s="3">
        <f>Supuestos!$E$4</f>
        <v>28.024999999999999</v>
      </c>
      <c r="G7" s="34">
        <f>E7*F7</f>
        <v>56.05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295.55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295.55</v>
      </c>
    </row>
    <row r="13" spans="2:16">
      <c r="B13" s="108" t="s">
        <v>203</v>
      </c>
      <c r="C13" s="109" t="s">
        <v>204</v>
      </c>
      <c r="D13" s="6" t="s">
        <v>88</v>
      </c>
      <c r="E13" s="33">
        <v>10</v>
      </c>
      <c r="F13" s="3">
        <f>Supuestos!$E$7</f>
        <v>23.95</v>
      </c>
      <c r="G13" s="34">
        <f>E13*F13</f>
        <v>239.5</v>
      </c>
      <c r="H13" s="6"/>
      <c r="I13" s="35"/>
      <c r="J13" s="35"/>
      <c r="K13" s="35"/>
      <c r="L13" s="49"/>
      <c r="M13" s="6"/>
      <c r="N13" s="35"/>
      <c r="O13" s="35"/>
      <c r="P13" s="50"/>
    </row>
    <row r="14" spans="2:16" ht="27.6">
      <c r="B14" s="108"/>
      <c r="C14" s="109"/>
      <c r="D14" s="6" t="s">
        <v>79</v>
      </c>
      <c r="E14" s="33">
        <v>2</v>
      </c>
      <c r="F14" s="3">
        <f>Supuestos!$E$4</f>
        <v>28.024999999999999</v>
      </c>
      <c r="G14" s="34">
        <f>E14*F14</f>
        <v>56.05</v>
      </c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08"/>
      <c r="C15" s="109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08"/>
      <c r="C16" s="109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08"/>
      <c r="C17" s="109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295.55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295.55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591.1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591.1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113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205</v>
      </c>
      <c r="C6" s="109" t="s">
        <v>206</v>
      </c>
      <c r="D6" s="6" t="s">
        <v>88</v>
      </c>
      <c r="E6" s="33">
        <v>12</v>
      </c>
      <c r="F6" s="3">
        <f>Supuestos!$E$7</f>
        <v>23.95</v>
      </c>
      <c r="G6" s="34">
        <f>E6*F6</f>
        <v>287.39999999999998</v>
      </c>
      <c r="H6" s="6" t="s">
        <v>207</v>
      </c>
      <c r="I6" s="35">
        <v>1</v>
      </c>
      <c r="J6" s="35">
        <v>1000</v>
      </c>
      <c r="K6" s="35">
        <v>1</v>
      </c>
      <c r="L6" s="49">
        <f>I6*J6*K6</f>
        <v>1000</v>
      </c>
      <c r="M6" s="6"/>
      <c r="N6" s="35"/>
      <c r="O6" s="35"/>
      <c r="P6" s="50"/>
    </row>
    <row r="7" spans="2:16" ht="27.6">
      <c r="B7" s="108"/>
      <c r="C7" s="109"/>
      <c r="D7" s="6" t="s">
        <v>79</v>
      </c>
      <c r="E7" s="33">
        <v>4</v>
      </c>
      <c r="F7" s="3">
        <f>Supuestos!$E$4</f>
        <v>28.024999999999999</v>
      </c>
      <c r="G7" s="34">
        <f>E7*F7</f>
        <v>112.1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399.5</v>
      </c>
      <c r="H11" s="40"/>
      <c r="I11" s="40"/>
      <c r="J11" s="41"/>
      <c r="K11" s="40"/>
      <c r="L11" s="41">
        <f>SUM(L6:L10)</f>
        <v>1000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1399.5</v>
      </c>
    </row>
    <row r="13" spans="2:16">
      <c r="B13" s="108" t="s">
        <v>208</v>
      </c>
      <c r="C13" s="109" t="s">
        <v>209</v>
      </c>
      <c r="D13" s="6" t="s">
        <v>88</v>
      </c>
      <c r="E13" s="33">
        <v>20</v>
      </c>
      <c r="F13" s="3">
        <f>Supuestos!$E$7</f>
        <v>23.95</v>
      </c>
      <c r="G13" s="34">
        <f>E13*F13</f>
        <v>479</v>
      </c>
      <c r="H13" s="6"/>
      <c r="I13" s="35"/>
      <c r="J13" s="35"/>
      <c r="K13" s="35"/>
      <c r="L13" s="49"/>
      <c r="M13" s="6"/>
      <c r="N13" s="35"/>
      <c r="O13" s="35"/>
      <c r="P13" s="50"/>
    </row>
    <row r="14" spans="2:16" ht="27.6">
      <c r="B14" s="108"/>
      <c r="C14" s="109"/>
      <c r="D14" s="6" t="s">
        <v>79</v>
      </c>
      <c r="E14" s="33">
        <v>4</v>
      </c>
      <c r="F14" s="3">
        <f>Supuestos!$E$4</f>
        <v>28.024999999999999</v>
      </c>
      <c r="G14" s="34">
        <f>E14*F14</f>
        <v>112.1</v>
      </c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08"/>
      <c r="C15" s="109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08"/>
      <c r="C16" s="109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08"/>
      <c r="C17" s="109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591.1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591.1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990.6</v>
      </c>
      <c r="E27" s="45"/>
      <c r="F27" s="45"/>
      <c r="G27" s="45"/>
      <c r="H27" s="45">
        <f>SUM(L11,L18,L25)</f>
        <v>1000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1990.6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210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211</v>
      </c>
      <c r="C6" s="109" t="s">
        <v>212</v>
      </c>
      <c r="D6" s="6" t="s">
        <v>85</v>
      </c>
      <c r="E6" s="33">
        <v>12</v>
      </c>
      <c r="F6" s="3">
        <f>Supuestos!$E$6</f>
        <v>21.875</v>
      </c>
      <c r="G6" s="34">
        <f>E6*F6</f>
        <v>262.5</v>
      </c>
      <c r="H6" s="6"/>
      <c r="I6" s="35"/>
      <c r="J6" s="35"/>
      <c r="K6" s="35"/>
      <c r="L6" s="49"/>
      <c r="M6" s="6"/>
      <c r="N6" s="35"/>
      <c r="O6" s="35"/>
      <c r="P6" s="50"/>
    </row>
    <row r="7" spans="2:16">
      <c r="B7" s="108"/>
      <c r="C7" s="109"/>
      <c r="D7" s="6"/>
      <c r="E7" s="33"/>
      <c r="F7" s="35"/>
      <c r="G7" s="49"/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262.5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262.5</v>
      </c>
    </row>
    <row r="13" spans="2:16">
      <c r="B13" s="108" t="s">
        <v>213</v>
      </c>
      <c r="C13" s="109" t="s">
        <v>214</v>
      </c>
      <c r="D13" s="6" t="s">
        <v>91</v>
      </c>
      <c r="E13" s="33">
        <v>10</v>
      </c>
      <c r="F13" s="3">
        <f>Supuestos!$E$8</f>
        <v>21.875</v>
      </c>
      <c r="G13" s="34">
        <f>E13*F13</f>
        <v>218.75</v>
      </c>
      <c r="H13" s="6"/>
      <c r="I13" s="35"/>
      <c r="J13" s="35"/>
      <c r="K13" s="35"/>
      <c r="L13" s="49"/>
      <c r="M13" s="6"/>
      <c r="N13" s="35"/>
      <c r="O13" s="35"/>
      <c r="P13" s="50"/>
    </row>
    <row r="14" spans="2:16" ht="27.6">
      <c r="B14" s="108"/>
      <c r="C14" s="109"/>
      <c r="D14" s="6" t="s">
        <v>79</v>
      </c>
      <c r="E14" s="33">
        <v>2</v>
      </c>
      <c r="F14" s="3">
        <f>Supuestos!$E$4</f>
        <v>28.024999999999999</v>
      </c>
      <c r="G14" s="34">
        <f>E14*F14</f>
        <v>56.05</v>
      </c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08"/>
      <c r="C15" s="109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08"/>
      <c r="C16" s="109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08"/>
      <c r="C17" s="109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274.8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274.8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537.29999999999995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537.29999999999995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215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216</v>
      </c>
      <c r="C6" s="109" t="s">
        <v>217</v>
      </c>
      <c r="D6" s="6" t="s">
        <v>85</v>
      </c>
      <c r="E6" s="33">
        <v>15</v>
      </c>
      <c r="F6" s="3">
        <f>Supuestos!$E$6</f>
        <v>21.875</v>
      </c>
      <c r="G6" s="34">
        <f>E6*F6</f>
        <v>328.125</v>
      </c>
      <c r="H6" s="6"/>
      <c r="I6" s="35"/>
      <c r="J6" s="35"/>
      <c r="K6" s="35"/>
      <c r="L6" s="49"/>
      <c r="M6" s="6"/>
      <c r="N6" s="35"/>
      <c r="O6" s="35"/>
      <c r="P6" s="50"/>
    </row>
    <row r="7" spans="2:16" ht="27.6">
      <c r="B7" s="108"/>
      <c r="C7" s="109"/>
      <c r="D7" s="6" t="s">
        <v>79</v>
      </c>
      <c r="E7" s="33">
        <v>1</v>
      </c>
      <c r="F7" s="3">
        <f>Supuestos!$E$4</f>
        <v>28.024999999999999</v>
      </c>
      <c r="G7" s="34">
        <f>E7*F7</f>
        <v>28.024999999999999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356.15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356.15</v>
      </c>
    </row>
    <row r="13" spans="2:16">
      <c r="B13" s="108" t="s">
        <v>218</v>
      </c>
      <c r="C13" s="109" t="s">
        <v>219</v>
      </c>
      <c r="D13" s="6" t="s">
        <v>82</v>
      </c>
      <c r="E13" s="33">
        <v>18</v>
      </c>
      <c r="F13" s="3">
        <f>Supuestos!$E$5</f>
        <v>24.8</v>
      </c>
      <c r="G13" s="34">
        <f>E13*F13</f>
        <v>446.40000000000003</v>
      </c>
      <c r="H13" s="6"/>
      <c r="I13" s="35"/>
      <c r="J13" s="35"/>
      <c r="K13" s="35"/>
      <c r="L13" s="49"/>
      <c r="M13" s="6"/>
      <c r="N13" s="35"/>
      <c r="O13" s="35"/>
      <c r="P13" s="50"/>
    </row>
    <row r="14" spans="2:16" ht="27.6">
      <c r="B14" s="108"/>
      <c r="C14" s="109"/>
      <c r="D14" s="6" t="s">
        <v>79</v>
      </c>
      <c r="E14" s="33">
        <v>2</v>
      </c>
      <c r="F14" s="3">
        <f>Supuestos!$E$4</f>
        <v>28.024999999999999</v>
      </c>
      <c r="G14" s="34">
        <f>E14*F14</f>
        <v>56.05</v>
      </c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08"/>
      <c r="C15" s="109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08"/>
      <c r="C16" s="109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08"/>
      <c r="C17" s="109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502.45000000000005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502.45000000000005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858.6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858.6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220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221</v>
      </c>
      <c r="C6" s="109" t="s">
        <v>222</v>
      </c>
      <c r="D6" s="6" t="s">
        <v>82</v>
      </c>
      <c r="E6" s="33">
        <v>20</v>
      </c>
      <c r="F6" s="3">
        <f>Supuestos!$E$5</f>
        <v>24.8</v>
      </c>
      <c r="G6" s="34">
        <f>E6*F6</f>
        <v>496</v>
      </c>
      <c r="H6" s="6"/>
      <c r="I6" s="35"/>
      <c r="J6" s="35"/>
      <c r="K6" s="35"/>
      <c r="L6" s="49"/>
      <c r="M6" s="6"/>
      <c r="N6" s="35"/>
      <c r="O6" s="35"/>
      <c r="P6" s="50"/>
    </row>
    <row r="7" spans="2:16" ht="27.6">
      <c r="B7" s="108"/>
      <c r="C7" s="109"/>
      <c r="D7" s="6" t="s">
        <v>79</v>
      </c>
      <c r="E7" s="33">
        <v>4</v>
      </c>
      <c r="F7" s="3">
        <f>Supuestos!$E$4</f>
        <v>28.024999999999999</v>
      </c>
      <c r="G7" s="34">
        <f>E7*F7</f>
        <v>112.1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608.1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608.1</v>
      </c>
    </row>
    <row r="13" spans="2:16">
      <c r="B13" s="108" t="s">
        <v>223</v>
      </c>
      <c r="C13" s="109" t="s">
        <v>224</v>
      </c>
      <c r="D13" s="6" t="s">
        <v>91</v>
      </c>
      <c r="E13" s="33">
        <v>16</v>
      </c>
      <c r="F13" s="3">
        <f>Supuestos!$E$8</f>
        <v>21.875</v>
      </c>
      <c r="G13" s="34">
        <f>E13*F13</f>
        <v>350</v>
      </c>
      <c r="H13" s="6"/>
      <c r="I13" s="35"/>
      <c r="J13" s="35"/>
      <c r="K13" s="35"/>
      <c r="L13" s="49"/>
      <c r="M13" s="6"/>
      <c r="N13" s="35"/>
      <c r="O13" s="35"/>
      <c r="P13" s="50"/>
    </row>
    <row r="14" spans="2:16" ht="27.6">
      <c r="B14" s="108"/>
      <c r="C14" s="109"/>
      <c r="D14" s="6" t="s">
        <v>79</v>
      </c>
      <c r="E14" s="33">
        <v>4</v>
      </c>
      <c r="F14" s="3">
        <f>Supuestos!$E$4</f>
        <v>28.024999999999999</v>
      </c>
      <c r="G14" s="34">
        <f>E14*F14</f>
        <v>112.1</v>
      </c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08"/>
      <c r="C15" s="109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08"/>
      <c r="C16" s="109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08"/>
      <c r="C17" s="109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462.1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462.1</v>
      </c>
    </row>
    <row r="20" spans="2:16">
      <c r="B20" s="108" t="s">
        <v>225</v>
      </c>
      <c r="C20" s="109" t="s">
        <v>226</v>
      </c>
      <c r="D20" s="6" t="s">
        <v>85</v>
      </c>
      <c r="E20" s="33">
        <v>8</v>
      </c>
      <c r="F20" s="3">
        <f>Supuestos!$E$6</f>
        <v>21.875</v>
      </c>
      <c r="G20" s="34">
        <f>E20*F20</f>
        <v>175</v>
      </c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08"/>
      <c r="C21" s="109"/>
      <c r="D21" s="6" t="s">
        <v>82</v>
      </c>
      <c r="E21" s="33">
        <v>4</v>
      </c>
      <c r="F21" s="3">
        <f>Supuestos!$E$5</f>
        <v>24.8</v>
      </c>
      <c r="G21" s="34">
        <f>E21*F21</f>
        <v>99.2</v>
      </c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08"/>
      <c r="C22" s="109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08"/>
      <c r="C23" s="109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08"/>
      <c r="C24" s="109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274.2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274.2</v>
      </c>
    </row>
    <row r="27" spans="2:16">
      <c r="B27" s="103" t="s">
        <v>156</v>
      </c>
      <c r="C27" s="104"/>
      <c r="D27" s="45">
        <f>SUM(G11,G18,G25)</f>
        <v>1344.4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1344.4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227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228</v>
      </c>
      <c r="C6" s="109" t="s">
        <v>229</v>
      </c>
      <c r="D6" s="6" t="s">
        <v>91</v>
      </c>
      <c r="E6" s="33">
        <v>13</v>
      </c>
      <c r="F6" s="3">
        <f>Supuestos!$E$8</f>
        <v>21.875</v>
      </c>
      <c r="G6" s="34">
        <f>E6*F6</f>
        <v>284.375</v>
      </c>
      <c r="H6" s="6"/>
      <c r="I6" s="35"/>
      <c r="J6" s="35"/>
      <c r="K6" s="35"/>
      <c r="L6" s="49"/>
      <c r="M6" s="6"/>
      <c r="N6" s="35"/>
      <c r="O6" s="35"/>
      <c r="P6" s="50"/>
    </row>
    <row r="7" spans="2:16" ht="27.6">
      <c r="B7" s="108"/>
      <c r="C7" s="109"/>
      <c r="D7" s="6" t="s">
        <v>79</v>
      </c>
      <c r="E7" s="33">
        <v>3</v>
      </c>
      <c r="F7" s="3">
        <f>Supuestos!$E$4</f>
        <v>28.024999999999999</v>
      </c>
      <c r="G7" s="34">
        <f>E7*F7</f>
        <v>84.074999999999989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368.45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368.45</v>
      </c>
    </row>
    <row r="13" spans="2:16">
      <c r="B13" s="110"/>
      <c r="C13" s="111"/>
      <c r="D13" s="6"/>
      <c r="E13" s="33"/>
      <c r="F13" s="35"/>
      <c r="G13" s="49"/>
      <c r="H13" s="6"/>
      <c r="I13" s="35"/>
      <c r="J13" s="35"/>
      <c r="K13" s="35"/>
      <c r="L13" s="49"/>
      <c r="M13" s="6"/>
      <c r="N13" s="35"/>
      <c r="O13" s="35"/>
      <c r="P13" s="50"/>
    </row>
    <row r="14" spans="2:16">
      <c r="B14" s="110"/>
      <c r="C14" s="111"/>
      <c r="D14" s="6"/>
      <c r="E14" s="33"/>
      <c r="F14" s="35"/>
      <c r="G14" s="49"/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10"/>
      <c r="C15" s="111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10"/>
      <c r="C16" s="111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10"/>
      <c r="C17" s="111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0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0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368.45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368.45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230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231</v>
      </c>
      <c r="C6" s="109" t="s">
        <v>232</v>
      </c>
      <c r="D6" s="6" t="s">
        <v>85</v>
      </c>
      <c r="E6" s="33">
        <v>15</v>
      </c>
      <c r="F6" s="3">
        <f>Supuestos!$E$6</f>
        <v>21.875</v>
      </c>
      <c r="G6" s="34">
        <f>E6*F6</f>
        <v>328.125</v>
      </c>
      <c r="H6" s="6"/>
      <c r="I6" s="35"/>
      <c r="J6" s="35"/>
      <c r="K6" s="35"/>
      <c r="L6" s="49"/>
      <c r="M6" s="6"/>
      <c r="N6" s="35"/>
      <c r="O6" s="35"/>
      <c r="P6" s="50"/>
    </row>
    <row r="7" spans="2:16" ht="27.6">
      <c r="B7" s="108"/>
      <c r="C7" s="109"/>
      <c r="D7" s="6" t="s">
        <v>79</v>
      </c>
      <c r="E7" s="33">
        <v>1</v>
      </c>
      <c r="F7" s="3">
        <f>Supuestos!$E$4</f>
        <v>28.024999999999999</v>
      </c>
      <c r="G7" s="34">
        <f>E7*F7</f>
        <v>28.024999999999999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356.15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356.15</v>
      </c>
    </row>
    <row r="13" spans="2:16">
      <c r="B13" s="110"/>
      <c r="C13" s="111"/>
      <c r="D13" s="6"/>
      <c r="E13" s="33"/>
      <c r="F13" s="35"/>
      <c r="G13" s="49"/>
      <c r="H13" s="6"/>
      <c r="I13" s="35"/>
      <c r="J13" s="35"/>
      <c r="K13" s="35"/>
      <c r="L13" s="49"/>
      <c r="M13" s="6"/>
      <c r="N13" s="35"/>
      <c r="O13" s="35"/>
      <c r="P13" s="50"/>
    </row>
    <row r="14" spans="2:16">
      <c r="B14" s="110"/>
      <c r="C14" s="111"/>
      <c r="D14" s="6"/>
      <c r="E14" s="33"/>
      <c r="F14" s="35"/>
      <c r="G14" s="49"/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10"/>
      <c r="C15" s="111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10"/>
      <c r="C16" s="111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10"/>
      <c r="C17" s="111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0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0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356.15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356.15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233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234</v>
      </c>
      <c r="C6" s="109" t="s">
        <v>235</v>
      </c>
      <c r="D6" s="6" t="s">
        <v>88</v>
      </c>
      <c r="E6" s="33">
        <v>24</v>
      </c>
      <c r="F6" s="3">
        <f>Supuestos!$E$7</f>
        <v>23.95</v>
      </c>
      <c r="G6" s="34">
        <f>E6*F6</f>
        <v>574.79999999999995</v>
      </c>
      <c r="H6" s="6"/>
      <c r="I6" s="35"/>
      <c r="J6" s="35"/>
      <c r="K6" s="35"/>
      <c r="L6" s="49"/>
      <c r="M6" s="6"/>
      <c r="N6" s="35"/>
      <c r="O6" s="35"/>
      <c r="P6" s="50"/>
    </row>
    <row r="7" spans="2:16" ht="27.6">
      <c r="B7" s="108"/>
      <c r="C7" s="109"/>
      <c r="D7" s="6" t="s">
        <v>79</v>
      </c>
      <c r="E7" s="33">
        <v>4</v>
      </c>
      <c r="F7" s="3">
        <f>Supuestos!$E$4</f>
        <v>28.024999999999999</v>
      </c>
      <c r="G7" s="34">
        <f>E7*F7</f>
        <v>112.1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686.9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686.9</v>
      </c>
    </row>
    <row r="13" spans="2:16">
      <c r="B13" s="110"/>
      <c r="C13" s="111"/>
      <c r="D13" s="6"/>
      <c r="E13" s="33"/>
      <c r="F13" s="35"/>
      <c r="G13" s="49"/>
      <c r="H13" s="6"/>
      <c r="I13" s="35"/>
      <c r="J13" s="35"/>
      <c r="K13" s="35"/>
      <c r="L13" s="49"/>
      <c r="M13" s="6"/>
      <c r="N13" s="35"/>
      <c r="O13" s="35"/>
      <c r="P13" s="50"/>
    </row>
    <row r="14" spans="2:16">
      <c r="B14" s="110"/>
      <c r="C14" s="111"/>
      <c r="D14" s="6"/>
      <c r="E14" s="33"/>
      <c r="F14" s="35"/>
      <c r="G14" s="49"/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10"/>
      <c r="C15" s="111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10"/>
      <c r="C16" s="111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10"/>
      <c r="C17" s="111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0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0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686.9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686.9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236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237</v>
      </c>
      <c r="C6" s="109" t="s">
        <v>238</v>
      </c>
      <c r="D6" s="6" t="s">
        <v>82</v>
      </c>
      <c r="E6" s="33">
        <v>18</v>
      </c>
      <c r="F6" s="3">
        <f>Supuestos!$E$5</f>
        <v>24.8</v>
      </c>
      <c r="G6" s="34">
        <f>E6*F6</f>
        <v>446.40000000000003</v>
      </c>
      <c r="H6" s="6"/>
      <c r="I6" s="35"/>
      <c r="J6" s="35"/>
      <c r="K6" s="35"/>
      <c r="L6" s="49"/>
      <c r="M6" s="6"/>
      <c r="N6" s="35"/>
      <c r="O6" s="35"/>
      <c r="P6" s="50"/>
    </row>
    <row r="7" spans="2:16" ht="27.6">
      <c r="B7" s="108"/>
      <c r="C7" s="109"/>
      <c r="D7" s="6" t="s">
        <v>79</v>
      </c>
      <c r="E7" s="33">
        <v>2</v>
      </c>
      <c r="F7" s="3">
        <f>Supuestos!$E$4</f>
        <v>28.024999999999999</v>
      </c>
      <c r="G7" s="34">
        <f>E7*F7</f>
        <v>56.05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502.45000000000005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502.45000000000005</v>
      </c>
    </row>
    <row r="13" spans="2:16">
      <c r="B13" s="110"/>
      <c r="C13" s="111"/>
      <c r="D13" s="6"/>
      <c r="E13" s="33"/>
      <c r="F13" s="35"/>
      <c r="G13" s="49"/>
      <c r="H13" s="6"/>
      <c r="I13" s="35"/>
      <c r="J13" s="35"/>
      <c r="K13" s="35"/>
      <c r="L13" s="49"/>
      <c r="M13" s="6"/>
      <c r="N13" s="35"/>
      <c r="O13" s="35"/>
      <c r="P13" s="50"/>
    </row>
    <row r="14" spans="2:16">
      <c r="B14" s="110"/>
      <c r="C14" s="111"/>
      <c r="D14" s="6"/>
      <c r="E14" s="33"/>
      <c r="F14" s="35"/>
      <c r="G14" s="49"/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10"/>
      <c r="C15" s="111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10"/>
      <c r="C16" s="111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10"/>
      <c r="C17" s="111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0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0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502.45000000000005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502.45000000000005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239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240</v>
      </c>
      <c r="C6" s="109" t="s">
        <v>241</v>
      </c>
      <c r="D6" s="6" t="s">
        <v>88</v>
      </c>
      <c r="E6" s="33">
        <v>3</v>
      </c>
      <c r="F6" s="3">
        <f>Supuestos!$E$7</f>
        <v>23.95</v>
      </c>
      <c r="G6" s="34">
        <f>E6*F6</f>
        <v>71.849999999999994</v>
      </c>
      <c r="H6" s="6"/>
      <c r="I6" s="35"/>
      <c r="J6" s="35"/>
      <c r="K6" s="35"/>
      <c r="L6" s="49"/>
      <c r="M6" s="6"/>
      <c r="N6" s="35"/>
      <c r="O6" s="35"/>
      <c r="P6" s="50"/>
    </row>
    <row r="7" spans="2:16">
      <c r="B7" s="108"/>
      <c r="C7" s="109"/>
      <c r="D7" s="6" t="s">
        <v>82</v>
      </c>
      <c r="E7" s="33">
        <v>8</v>
      </c>
      <c r="F7" s="3">
        <f>Supuestos!$E$5</f>
        <v>24.8</v>
      </c>
      <c r="G7" s="34">
        <f>E7*F7</f>
        <v>198.4</v>
      </c>
      <c r="H7" s="6"/>
      <c r="I7" s="35"/>
      <c r="J7" s="35"/>
      <c r="K7" s="35"/>
      <c r="L7" s="49"/>
      <c r="M7" s="6"/>
      <c r="N7" s="35"/>
      <c r="O7" s="35"/>
      <c r="P7" s="50"/>
    </row>
    <row r="8" spans="2:16" ht="27.6">
      <c r="B8" s="108"/>
      <c r="C8" s="109"/>
      <c r="D8" s="6" t="s">
        <v>79</v>
      </c>
      <c r="E8" s="33">
        <v>1</v>
      </c>
      <c r="F8" s="3">
        <f>Supuestos!$E$4</f>
        <v>28.024999999999999</v>
      </c>
      <c r="G8" s="34">
        <f>E8*F8</f>
        <v>28.024999999999999</v>
      </c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298.27499999999998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298.27499999999998</v>
      </c>
    </row>
    <row r="13" spans="2:16">
      <c r="B13" s="108" t="s">
        <v>242</v>
      </c>
      <c r="C13" s="109" t="s">
        <v>243</v>
      </c>
      <c r="D13" s="6" t="s">
        <v>82</v>
      </c>
      <c r="E13" s="33">
        <v>16</v>
      </c>
      <c r="F13" s="3">
        <f>Supuestos!$E$5</f>
        <v>24.8</v>
      </c>
      <c r="G13" s="34">
        <f>E13*F13</f>
        <v>396.8</v>
      </c>
      <c r="H13" s="6"/>
      <c r="I13" s="35"/>
      <c r="J13" s="35"/>
      <c r="K13" s="35"/>
      <c r="L13" s="49"/>
      <c r="M13" s="6" t="s">
        <v>244</v>
      </c>
      <c r="N13" s="35">
        <v>1</v>
      </c>
      <c r="O13" s="35">
        <v>200</v>
      </c>
      <c r="P13" s="50">
        <f>N13*O13</f>
        <v>200</v>
      </c>
    </row>
    <row r="14" spans="2:16">
      <c r="B14" s="108"/>
      <c r="C14" s="109"/>
      <c r="D14" s="6" t="s">
        <v>85</v>
      </c>
      <c r="E14" s="33">
        <v>8</v>
      </c>
      <c r="F14" s="3">
        <f>Supuestos!$E$6</f>
        <v>21.875</v>
      </c>
      <c r="G14" s="34">
        <f>E14*F14</f>
        <v>175</v>
      </c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08"/>
      <c r="C15" s="109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08"/>
      <c r="C16" s="109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08"/>
      <c r="C17" s="109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571.79999999999995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200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771.8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870.07499999999993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200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1070.0749999999998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245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246</v>
      </c>
      <c r="C6" s="109" t="s">
        <v>247</v>
      </c>
      <c r="D6" s="6" t="s">
        <v>88</v>
      </c>
      <c r="E6" s="33">
        <v>13</v>
      </c>
      <c r="F6" s="3">
        <f>Supuestos!$E$7</f>
        <v>23.95</v>
      </c>
      <c r="G6" s="34">
        <f>E6*F6</f>
        <v>311.34999999999997</v>
      </c>
      <c r="H6" s="6"/>
      <c r="I6" s="35"/>
      <c r="J6" s="35"/>
      <c r="K6" s="35"/>
      <c r="L6" s="49"/>
      <c r="M6" s="6"/>
      <c r="N6" s="35"/>
      <c r="O6" s="35"/>
      <c r="P6" s="50"/>
    </row>
    <row r="7" spans="2:16" ht="27.6">
      <c r="B7" s="108"/>
      <c r="C7" s="109"/>
      <c r="D7" s="6" t="s">
        <v>79</v>
      </c>
      <c r="E7" s="33">
        <v>3</v>
      </c>
      <c r="F7" s="3">
        <f>Supuestos!$E$4</f>
        <v>28.024999999999999</v>
      </c>
      <c r="G7" s="34">
        <f>E7*F7</f>
        <v>84.074999999999989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395.42499999999995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395.42499999999995</v>
      </c>
    </row>
    <row r="13" spans="2:16">
      <c r="B13" s="108" t="s">
        <v>248</v>
      </c>
      <c r="C13" s="109" t="s">
        <v>249</v>
      </c>
      <c r="D13" s="6" t="s">
        <v>91</v>
      </c>
      <c r="E13" s="33">
        <v>22</v>
      </c>
      <c r="F13" s="3">
        <f>Supuestos!$E$8</f>
        <v>21.875</v>
      </c>
      <c r="G13" s="34">
        <f>E13*F13</f>
        <v>481.25</v>
      </c>
      <c r="H13" s="6"/>
      <c r="I13" s="35"/>
      <c r="J13" s="35"/>
      <c r="K13" s="35"/>
      <c r="L13" s="49"/>
      <c r="M13" s="6" t="s">
        <v>250</v>
      </c>
      <c r="N13" s="35">
        <v>1</v>
      </c>
      <c r="O13" s="35">
        <v>200</v>
      </c>
      <c r="P13" s="50">
        <f>N13*O13</f>
        <v>200</v>
      </c>
    </row>
    <row r="14" spans="2:16" ht="27.6">
      <c r="B14" s="108"/>
      <c r="C14" s="109"/>
      <c r="D14" s="6" t="s">
        <v>79</v>
      </c>
      <c r="E14" s="33">
        <v>6</v>
      </c>
      <c r="F14" s="3">
        <f>Supuestos!$E$4</f>
        <v>28.024999999999999</v>
      </c>
      <c r="G14" s="34">
        <f>E14*F14</f>
        <v>168.14999999999998</v>
      </c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08"/>
      <c r="C15" s="109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08"/>
      <c r="C16" s="109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08"/>
      <c r="C17" s="109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649.4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200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849.4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1044.8249999999998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200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1244.8249999999998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251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252</v>
      </c>
      <c r="C6" s="109" t="s">
        <v>253</v>
      </c>
      <c r="D6" s="6" t="s">
        <v>82</v>
      </c>
      <c r="E6" s="33">
        <v>14</v>
      </c>
      <c r="F6" s="3">
        <f>Supuestos!$E$5</f>
        <v>24.8</v>
      </c>
      <c r="G6" s="34">
        <f>E6*F6</f>
        <v>347.2</v>
      </c>
      <c r="H6" s="6"/>
      <c r="I6" s="35"/>
      <c r="J6" s="35"/>
      <c r="K6" s="35"/>
      <c r="L6" s="49"/>
      <c r="M6" s="6" t="s">
        <v>254</v>
      </c>
      <c r="N6" s="35">
        <v>1</v>
      </c>
      <c r="O6" s="35">
        <v>600</v>
      </c>
      <c r="P6" s="50">
        <f>N6*O6</f>
        <v>600</v>
      </c>
    </row>
    <row r="7" spans="2:16">
      <c r="B7" s="108"/>
      <c r="C7" s="109"/>
      <c r="D7" s="6" t="s">
        <v>91</v>
      </c>
      <c r="E7" s="33">
        <v>14</v>
      </c>
      <c r="F7" s="3">
        <f>Supuestos!$E$8</f>
        <v>21.875</v>
      </c>
      <c r="G7" s="34">
        <f>E7*F7</f>
        <v>306.25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 t="s">
        <v>88</v>
      </c>
      <c r="E8" s="33">
        <v>7</v>
      </c>
      <c r="F8" s="3">
        <f>Supuestos!$E$7</f>
        <v>23.95</v>
      </c>
      <c r="G8" s="34">
        <f>E8*F8</f>
        <v>167.65</v>
      </c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 t="s">
        <v>85</v>
      </c>
      <c r="E9" s="33">
        <v>7</v>
      </c>
      <c r="F9" s="3">
        <f>Supuestos!$E$6</f>
        <v>21.875</v>
      </c>
      <c r="G9" s="34">
        <f>E9*F9</f>
        <v>153.125</v>
      </c>
      <c r="H9" s="6"/>
      <c r="I9" s="35"/>
      <c r="J9" s="35"/>
      <c r="K9" s="35"/>
      <c r="L9" s="49"/>
      <c r="M9" s="6"/>
      <c r="N9" s="35"/>
      <c r="O9" s="35"/>
      <c r="P9" s="50"/>
    </row>
    <row r="10" spans="2:16" ht="27.6">
      <c r="B10" s="108"/>
      <c r="C10" s="109"/>
      <c r="D10" s="6" t="s">
        <v>79</v>
      </c>
      <c r="E10" s="33">
        <v>6</v>
      </c>
      <c r="F10" s="3">
        <f>Supuestos!$E$4</f>
        <v>28.024999999999999</v>
      </c>
      <c r="G10" s="34">
        <f>E10*F10</f>
        <v>168.14999999999998</v>
      </c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1142.375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600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1742.375</v>
      </c>
    </row>
    <row r="13" spans="2:16">
      <c r="B13" s="110"/>
      <c r="C13" s="111"/>
      <c r="D13" s="6"/>
      <c r="E13" s="33"/>
      <c r="F13" s="35"/>
      <c r="G13" s="49"/>
      <c r="H13" s="6"/>
      <c r="I13" s="35"/>
      <c r="J13" s="35"/>
      <c r="K13" s="35"/>
      <c r="L13" s="49"/>
      <c r="M13" s="6"/>
      <c r="N13" s="35"/>
      <c r="O13" s="35"/>
      <c r="P13" s="50"/>
    </row>
    <row r="14" spans="2:16">
      <c r="B14" s="110"/>
      <c r="C14" s="111"/>
      <c r="D14" s="6"/>
      <c r="E14" s="33"/>
      <c r="F14" s="35"/>
      <c r="G14" s="49"/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10"/>
      <c r="C15" s="111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10"/>
      <c r="C16" s="111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10"/>
      <c r="C17" s="111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0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0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1142.375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600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1742.375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111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255</v>
      </c>
      <c r="C6" s="109" t="s">
        <v>256</v>
      </c>
      <c r="D6" s="6" t="s">
        <v>85</v>
      </c>
      <c r="E6" s="33">
        <v>4</v>
      </c>
      <c r="F6" s="3">
        <f>Supuestos!$E$6</f>
        <v>21.875</v>
      </c>
      <c r="G6" s="34">
        <f>E6*F6</f>
        <v>87.5</v>
      </c>
      <c r="H6" s="6" t="s">
        <v>257</v>
      </c>
      <c r="I6" s="35">
        <v>1</v>
      </c>
      <c r="J6" s="35">
        <v>1200</v>
      </c>
      <c r="K6" s="35">
        <v>1</v>
      </c>
      <c r="L6" s="49">
        <f>I6*J6*K6</f>
        <v>1200</v>
      </c>
      <c r="M6" s="6" t="s">
        <v>258</v>
      </c>
      <c r="N6" s="35">
        <v>1</v>
      </c>
      <c r="O6" s="35">
        <v>400</v>
      </c>
      <c r="P6" s="50">
        <f>N6*O6</f>
        <v>400</v>
      </c>
    </row>
    <row r="7" spans="2:16">
      <c r="B7" s="108"/>
      <c r="C7" s="109"/>
      <c r="D7" s="6" t="s">
        <v>91</v>
      </c>
      <c r="E7" s="33">
        <v>7</v>
      </c>
      <c r="F7" s="3">
        <f>Supuestos!$E$8</f>
        <v>21.875</v>
      </c>
      <c r="G7" s="34">
        <f>E7*F7</f>
        <v>153.125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 t="s">
        <v>88</v>
      </c>
      <c r="E8" s="33">
        <v>4</v>
      </c>
      <c r="F8" s="3">
        <f>Supuestos!$E$7</f>
        <v>23.95</v>
      </c>
      <c r="G8" s="34">
        <f>E8*F8</f>
        <v>95.8</v>
      </c>
      <c r="H8" s="6"/>
      <c r="I8" s="35"/>
      <c r="J8" s="35"/>
      <c r="K8" s="35"/>
      <c r="L8" s="49"/>
      <c r="M8" s="6"/>
      <c r="N8" s="35"/>
      <c r="O8" s="35"/>
      <c r="P8" s="50"/>
    </row>
    <row r="9" spans="2:16" ht="27.6">
      <c r="B9" s="108"/>
      <c r="C9" s="109"/>
      <c r="D9" s="6" t="s">
        <v>79</v>
      </c>
      <c r="E9" s="33">
        <v>1</v>
      </c>
      <c r="F9" s="3">
        <f>Supuestos!$E$4</f>
        <v>28.024999999999999</v>
      </c>
      <c r="G9" s="34">
        <f>E9*F9</f>
        <v>28.024999999999999</v>
      </c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364.45</v>
      </c>
      <c r="H11" s="40"/>
      <c r="I11" s="40"/>
      <c r="J11" s="41"/>
      <c r="K11" s="40"/>
      <c r="L11" s="41">
        <f>SUM(L6:L10)</f>
        <v>1200</v>
      </c>
      <c r="M11" s="40"/>
      <c r="N11" s="40"/>
      <c r="O11" s="41"/>
      <c r="P11" s="51">
        <f>SUM(P6:P10)</f>
        <v>400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1964.45</v>
      </c>
    </row>
    <row r="13" spans="2:16">
      <c r="B13" s="110"/>
      <c r="C13" s="111"/>
      <c r="D13" s="6"/>
      <c r="E13" s="33"/>
      <c r="F13" s="35"/>
      <c r="G13" s="49"/>
      <c r="H13" s="6"/>
      <c r="I13" s="35"/>
      <c r="J13" s="35"/>
      <c r="K13" s="35"/>
      <c r="L13" s="49"/>
      <c r="M13" s="6"/>
      <c r="N13" s="35"/>
      <c r="O13" s="35"/>
      <c r="P13" s="50"/>
    </row>
    <row r="14" spans="2:16">
      <c r="B14" s="110"/>
      <c r="C14" s="111"/>
      <c r="D14" s="6"/>
      <c r="E14" s="33"/>
      <c r="F14" s="35"/>
      <c r="G14" s="49"/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10"/>
      <c r="C15" s="111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10"/>
      <c r="C16" s="111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10"/>
      <c r="C17" s="111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0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0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364.45</v>
      </c>
      <c r="E27" s="45"/>
      <c r="F27" s="45"/>
      <c r="G27" s="45"/>
      <c r="H27" s="45">
        <f>SUM(L11,L18,L25)</f>
        <v>1200</v>
      </c>
      <c r="I27" s="45"/>
      <c r="J27" s="45"/>
      <c r="K27" s="45"/>
      <c r="L27" s="45"/>
      <c r="M27" s="45">
        <f>SUM(P11,P18,P25)</f>
        <v>400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1964.45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259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>
      <c r="B6" s="108" t="s">
        <v>260</v>
      </c>
      <c r="C6" s="109" t="s">
        <v>261</v>
      </c>
      <c r="D6" s="6" t="s">
        <v>82</v>
      </c>
      <c r="E6" s="33">
        <v>8</v>
      </c>
      <c r="F6" s="3">
        <f>Supuestos!$E$5</f>
        <v>24.8</v>
      </c>
      <c r="G6" s="34">
        <f>E6*F6</f>
        <v>198.4</v>
      </c>
      <c r="H6" s="6"/>
      <c r="I6" s="35"/>
      <c r="J6" s="35"/>
      <c r="K6" s="35"/>
      <c r="L6" s="49"/>
      <c r="M6" s="6"/>
      <c r="N6" s="35"/>
      <c r="O6" s="35"/>
      <c r="P6" s="50"/>
    </row>
    <row r="7" spans="2:16">
      <c r="B7" s="108"/>
      <c r="C7" s="109"/>
      <c r="D7" s="6" t="s">
        <v>91</v>
      </c>
      <c r="E7" s="33">
        <v>7</v>
      </c>
      <c r="F7" s="3">
        <f>Supuestos!$E$8</f>
        <v>21.875</v>
      </c>
      <c r="G7" s="34">
        <f>E7*F7</f>
        <v>153.125</v>
      </c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 t="s">
        <v>88</v>
      </c>
      <c r="E8" s="33">
        <v>7</v>
      </c>
      <c r="F8" s="3">
        <f>Supuestos!$E$7</f>
        <v>23.95</v>
      </c>
      <c r="G8" s="34">
        <f>E8*F8</f>
        <v>167.65</v>
      </c>
      <c r="H8" s="6"/>
      <c r="I8" s="35"/>
      <c r="J8" s="35"/>
      <c r="K8" s="35"/>
      <c r="L8" s="49"/>
      <c r="M8" s="6"/>
      <c r="N8" s="35"/>
      <c r="O8" s="35"/>
      <c r="P8" s="50"/>
    </row>
    <row r="9" spans="2:16" ht="27.6">
      <c r="B9" s="108"/>
      <c r="C9" s="109"/>
      <c r="D9" s="6" t="s">
        <v>79</v>
      </c>
      <c r="E9" s="33">
        <v>2</v>
      </c>
      <c r="F9" s="3">
        <f>Supuestos!$E$4</f>
        <v>28.024999999999999</v>
      </c>
      <c r="G9" s="34">
        <f>E9*F9</f>
        <v>56.05</v>
      </c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575.22499999999991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575.22499999999991</v>
      </c>
    </row>
    <row r="13" spans="2:16">
      <c r="B13" s="108" t="s">
        <v>262</v>
      </c>
      <c r="C13" s="109" t="s">
        <v>263</v>
      </c>
      <c r="D13" s="6" t="s">
        <v>85</v>
      </c>
      <c r="E13" s="33">
        <v>4</v>
      </c>
      <c r="F13" s="3">
        <f>Supuestos!$E$6</f>
        <v>21.875</v>
      </c>
      <c r="G13" s="34">
        <f>E13*F13</f>
        <v>87.5</v>
      </c>
      <c r="H13" s="6"/>
      <c r="I13" s="35"/>
      <c r="J13" s="35"/>
      <c r="K13" s="35"/>
      <c r="L13" s="49"/>
      <c r="M13" s="6"/>
      <c r="N13" s="35"/>
      <c r="O13" s="35"/>
      <c r="P13" s="50"/>
    </row>
    <row r="14" spans="2:16">
      <c r="B14" s="108"/>
      <c r="C14" s="109"/>
      <c r="D14" s="6" t="s">
        <v>91</v>
      </c>
      <c r="E14" s="33">
        <v>4</v>
      </c>
      <c r="F14" s="3">
        <f>Supuestos!$E$8</f>
        <v>21.875</v>
      </c>
      <c r="G14" s="34">
        <f>E14*F14</f>
        <v>87.5</v>
      </c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08"/>
      <c r="C15" s="109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08"/>
      <c r="C16" s="109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08"/>
      <c r="C17" s="109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175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175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750.22499999999991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750.22499999999991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P32"/>
  <sheetViews>
    <sheetView workbookViewId="0"/>
  </sheetViews>
  <sheetFormatPr baseColWidth="10" defaultColWidth="8.796875" defaultRowHeight="13.8"/>
  <cols>
    <col min="1" max="1" width="3" customWidth="1"/>
    <col min="2" max="2" width="16" customWidth="1"/>
    <col min="3" max="3" width="34" customWidth="1"/>
    <col min="4" max="4" width="32" customWidth="1"/>
    <col min="5" max="6" width="14" customWidth="1"/>
    <col min="7" max="7" width="16" customWidth="1"/>
    <col min="8" max="8" width="30" customWidth="1"/>
    <col min="9" max="9" width="12" customWidth="1"/>
    <col min="10" max="10" width="14" customWidth="1"/>
    <col min="11" max="11" width="12" customWidth="1"/>
    <col min="12" max="12" width="16" customWidth="1"/>
    <col min="13" max="13" width="30" customWidth="1"/>
    <col min="14" max="14" width="12" customWidth="1"/>
    <col min="15" max="16" width="16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97" t="s">
        <v>133</v>
      </c>
      <c r="C2" s="97"/>
      <c r="D2" s="98" t="s">
        <v>264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16">
      <c r="B3" s="99" t="s">
        <v>135</v>
      </c>
      <c r="C3" s="99"/>
      <c r="D3" s="100" t="s">
        <v>136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2:16">
      <c r="B4" s="27" t="s">
        <v>137</v>
      </c>
      <c r="C4" s="28" t="s">
        <v>138</v>
      </c>
      <c r="D4" s="101" t="s">
        <v>139</v>
      </c>
      <c r="E4" s="101"/>
      <c r="F4" s="101"/>
      <c r="G4" s="101"/>
      <c r="H4" s="101" t="s">
        <v>140</v>
      </c>
      <c r="I4" s="101"/>
      <c r="J4" s="101"/>
      <c r="K4" s="101"/>
      <c r="L4" s="101"/>
      <c r="M4" s="101" t="s">
        <v>141</v>
      </c>
      <c r="N4" s="101"/>
      <c r="O4" s="101"/>
      <c r="P4" s="102"/>
    </row>
    <row r="5" spans="2:16" ht="27.6">
      <c r="B5" s="29"/>
      <c r="C5" s="30"/>
      <c r="D5" s="31" t="s">
        <v>142</v>
      </c>
      <c r="E5" s="31" t="s">
        <v>143</v>
      </c>
      <c r="F5" s="31" t="s">
        <v>144</v>
      </c>
      <c r="G5" s="31" t="s">
        <v>145</v>
      </c>
      <c r="H5" s="31" t="s">
        <v>142</v>
      </c>
      <c r="I5" s="31" t="s">
        <v>146</v>
      </c>
      <c r="J5" s="31" t="s">
        <v>147</v>
      </c>
      <c r="K5" s="31" t="s">
        <v>148</v>
      </c>
      <c r="L5" s="31" t="s">
        <v>149</v>
      </c>
      <c r="M5" s="31" t="s">
        <v>142</v>
      </c>
      <c r="N5" s="31" t="s">
        <v>146</v>
      </c>
      <c r="O5" s="31" t="s">
        <v>150</v>
      </c>
      <c r="P5" s="32" t="s">
        <v>151</v>
      </c>
    </row>
    <row r="6" spans="2:16" ht="27.6">
      <c r="B6" s="108" t="s">
        <v>265</v>
      </c>
      <c r="C6" s="109" t="s">
        <v>266</v>
      </c>
      <c r="D6" s="6" t="s">
        <v>79</v>
      </c>
      <c r="E6" s="33">
        <v>4</v>
      </c>
      <c r="F6" s="3">
        <f>Supuestos!$E$4</f>
        <v>28.024999999999999</v>
      </c>
      <c r="G6" s="34">
        <f>E6*F6</f>
        <v>112.1</v>
      </c>
      <c r="H6" s="6"/>
      <c r="I6" s="35"/>
      <c r="J6" s="35"/>
      <c r="K6" s="35"/>
      <c r="L6" s="49"/>
      <c r="M6" s="6"/>
      <c r="N6" s="35"/>
      <c r="O6" s="35"/>
      <c r="P6" s="50"/>
    </row>
    <row r="7" spans="2:16">
      <c r="B7" s="108"/>
      <c r="C7" s="109"/>
      <c r="D7" s="6"/>
      <c r="E7" s="33"/>
      <c r="F7" s="35"/>
      <c r="G7" s="49"/>
      <c r="H7" s="6"/>
      <c r="I7" s="35"/>
      <c r="J7" s="35"/>
      <c r="K7" s="35"/>
      <c r="L7" s="49"/>
      <c r="M7" s="6"/>
      <c r="N7" s="35"/>
      <c r="O7" s="35"/>
      <c r="P7" s="50"/>
    </row>
    <row r="8" spans="2:16">
      <c r="B8" s="108"/>
      <c r="C8" s="109"/>
      <c r="D8" s="6"/>
      <c r="E8" s="33"/>
      <c r="F8" s="35"/>
      <c r="G8" s="49"/>
      <c r="H8" s="6"/>
      <c r="I8" s="35"/>
      <c r="J8" s="35"/>
      <c r="K8" s="35"/>
      <c r="L8" s="49"/>
      <c r="M8" s="6"/>
      <c r="N8" s="35"/>
      <c r="O8" s="35"/>
      <c r="P8" s="50"/>
    </row>
    <row r="9" spans="2:16">
      <c r="B9" s="108"/>
      <c r="C9" s="109"/>
      <c r="D9" s="6"/>
      <c r="E9" s="33"/>
      <c r="F9" s="35"/>
      <c r="G9" s="49"/>
      <c r="H9" s="6"/>
      <c r="I9" s="35"/>
      <c r="J9" s="35"/>
      <c r="K9" s="35"/>
      <c r="L9" s="49"/>
      <c r="M9" s="6"/>
      <c r="N9" s="35"/>
      <c r="O9" s="35"/>
      <c r="P9" s="50"/>
    </row>
    <row r="10" spans="2:16">
      <c r="B10" s="108"/>
      <c r="C10" s="109"/>
      <c r="D10" s="6"/>
      <c r="E10" s="33"/>
      <c r="F10" s="35"/>
      <c r="G10" s="49"/>
      <c r="H10" s="6"/>
      <c r="I10" s="35"/>
      <c r="J10" s="35"/>
      <c r="K10" s="35"/>
      <c r="L10" s="49"/>
      <c r="M10" s="6"/>
      <c r="N10" s="35"/>
      <c r="O10" s="35"/>
      <c r="P10" s="50"/>
    </row>
    <row r="11" spans="2:16">
      <c r="B11" s="1"/>
      <c r="C11" s="38" t="s">
        <v>154</v>
      </c>
      <c r="D11" s="38"/>
      <c r="E11" s="39"/>
      <c r="F11" s="41"/>
      <c r="G11" s="41">
        <f>SUM(G6:G10)</f>
        <v>112.1</v>
      </c>
      <c r="H11" s="40"/>
      <c r="I11" s="40"/>
      <c r="J11" s="41"/>
      <c r="K11" s="40"/>
      <c r="L11" s="41">
        <f>SUM(L6:L10)</f>
        <v>0</v>
      </c>
      <c r="M11" s="40"/>
      <c r="N11" s="40"/>
      <c r="O11" s="41"/>
      <c r="P11" s="51">
        <f>SUM(P6:P10)</f>
        <v>0</v>
      </c>
    </row>
    <row r="12" spans="2:16">
      <c r="B12" s="1"/>
      <c r="C12" s="20" t="s">
        <v>155</v>
      </c>
      <c r="D12" s="20"/>
      <c r="E12" s="42"/>
      <c r="F12" s="43"/>
      <c r="G12" s="43"/>
      <c r="H12" s="21"/>
      <c r="I12" s="21"/>
      <c r="J12" s="43"/>
      <c r="K12" s="21"/>
      <c r="L12" s="43"/>
      <c r="M12" s="21"/>
      <c r="N12" s="21"/>
      <c r="O12" s="43"/>
      <c r="P12" s="52">
        <f>G11+L11+P11</f>
        <v>112.1</v>
      </c>
    </row>
    <row r="13" spans="2:16" ht="27.6">
      <c r="B13" s="108" t="s">
        <v>267</v>
      </c>
      <c r="C13" s="109" t="s">
        <v>268</v>
      </c>
      <c r="D13" s="6" t="s">
        <v>79</v>
      </c>
      <c r="E13" s="33">
        <v>12</v>
      </c>
      <c r="F13" s="3">
        <f>Supuestos!$E$4</f>
        <v>28.024999999999999</v>
      </c>
      <c r="G13" s="34">
        <f>E13*F13</f>
        <v>336.29999999999995</v>
      </c>
      <c r="H13" s="6"/>
      <c r="I13" s="35"/>
      <c r="J13" s="35"/>
      <c r="K13" s="35"/>
      <c r="L13" s="49"/>
      <c r="M13" s="6"/>
      <c r="N13" s="35"/>
      <c r="O13" s="35"/>
      <c r="P13" s="50"/>
    </row>
    <row r="14" spans="2:16">
      <c r="B14" s="108"/>
      <c r="C14" s="109"/>
      <c r="D14" s="6"/>
      <c r="E14" s="33"/>
      <c r="F14" s="35"/>
      <c r="G14" s="49"/>
      <c r="H14" s="6"/>
      <c r="I14" s="35"/>
      <c r="J14" s="35"/>
      <c r="K14" s="35"/>
      <c r="L14" s="49"/>
      <c r="M14" s="6"/>
      <c r="N14" s="35"/>
      <c r="O14" s="35"/>
      <c r="P14" s="50"/>
    </row>
    <row r="15" spans="2:16">
      <c r="B15" s="108"/>
      <c r="C15" s="109"/>
      <c r="D15" s="6"/>
      <c r="E15" s="33"/>
      <c r="F15" s="35"/>
      <c r="G15" s="49"/>
      <c r="H15" s="6"/>
      <c r="I15" s="35"/>
      <c r="J15" s="35"/>
      <c r="K15" s="35"/>
      <c r="L15" s="49"/>
      <c r="M15" s="6"/>
      <c r="N15" s="35"/>
      <c r="O15" s="35"/>
      <c r="P15" s="50"/>
    </row>
    <row r="16" spans="2:16">
      <c r="B16" s="108"/>
      <c r="C16" s="109"/>
      <c r="D16" s="6"/>
      <c r="E16" s="33"/>
      <c r="F16" s="35"/>
      <c r="G16" s="49"/>
      <c r="H16" s="6"/>
      <c r="I16" s="35"/>
      <c r="J16" s="35"/>
      <c r="K16" s="35"/>
      <c r="L16" s="49"/>
      <c r="M16" s="6"/>
      <c r="N16" s="35"/>
      <c r="O16" s="35"/>
      <c r="P16" s="50"/>
    </row>
    <row r="17" spans="2:16">
      <c r="B17" s="108"/>
      <c r="C17" s="109"/>
      <c r="D17" s="6"/>
      <c r="E17" s="33"/>
      <c r="F17" s="35"/>
      <c r="G17" s="49"/>
      <c r="H17" s="6"/>
      <c r="I17" s="35"/>
      <c r="J17" s="35"/>
      <c r="K17" s="35"/>
      <c r="L17" s="49"/>
      <c r="M17" s="6"/>
      <c r="N17" s="35"/>
      <c r="O17" s="35"/>
      <c r="P17" s="50"/>
    </row>
    <row r="18" spans="2:16">
      <c r="B18" s="1"/>
      <c r="C18" s="38" t="s">
        <v>154</v>
      </c>
      <c r="D18" s="38"/>
      <c r="E18" s="39"/>
      <c r="F18" s="41"/>
      <c r="G18" s="41">
        <f>SUM(G13:G17)</f>
        <v>336.29999999999995</v>
      </c>
      <c r="H18" s="40"/>
      <c r="I18" s="40"/>
      <c r="J18" s="41"/>
      <c r="K18" s="40"/>
      <c r="L18" s="41">
        <f>SUM(L13:L17)</f>
        <v>0</v>
      </c>
      <c r="M18" s="40"/>
      <c r="N18" s="40"/>
      <c r="O18" s="41"/>
      <c r="P18" s="51">
        <f>SUM(P13:P17)</f>
        <v>0</v>
      </c>
    </row>
    <row r="19" spans="2:16">
      <c r="B19" s="1"/>
      <c r="C19" s="20" t="s">
        <v>155</v>
      </c>
      <c r="D19" s="20"/>
      <c r="E19" s="42"/>
      <c r="F19" s="43"/>
      <c r="G19" s="43"/>
      <c r="H19" s="21"/>
      <c r="I19" s="21"/>
      <c r="J19" s="43"/>
      <c r="K19" s="21"/>
      <c r="L19" s="43"/>
      <c r="M19" s="21"/>
      <c r="N19" s="21"/>
      <c r="O19" s="43"/>
      <c r="P19" s="52">
        <f>G18+L18+P18</f>
        <v>336.29999999999995</v>
      </c>
    </row>
    <row r="20" spans="2:16">
      <c r="B20" s="110"/>
      <c r="C20" s="111"/>
      <c r="D20" s="6"/>
      <c r="E20" s="33"/>
      <c r="F20" s="35"/>
      <c r="G20" s="49"/>
      <c r="H20" s="6"/>
      <c r="I20" s="35"/>
      <c r="J20" s="35"/>
      <c r="K20" s="35"/>
      <c r="L20" s="49"/>
      <c r="M20" s="6"/>
      <c r="N20" s="35"/>
      <c r="O20" s="35"/>
      <c r="P20" s="50"/>
    </row>
    <row r="21" spans="2:16">
      <c r="B21" s="110"/>
      <c r="C21" s="111"/>
      <c r="D21" s="6"/>
      <c r="E21" s="33"/>
      <c r="F21" s="35"/>
      <c r="G21" s="49"/>
      <c r="H21" s="6"/>
      <c r="I21" s="35"/>
      <c r="J21" s="35"/>
      <c r="K21" s="35"/>
      <c r="L21" s="49"/>
      <c r="M21" s="6"/>
      <c r="N21" s="35"/>
      <c r="O21" s="35"/>
      <c r="P21" s="50"/>
    </row>
    <row r="22" spans="2:16">
      <c r="B22" s="110"/>
      <c r="C22" s="111"/>
      <c r="D22" s="6"/>
      <c r="E22" s="33"/>
      <c r="F22" s="35"/>
      <c r="G22" s="49"/>
      <c r="H22" s="6"/>
      <c r="I22" s="35"/>
      <c r="J22" s="35"/>
      <c r="K22" s="35"/>
      <c r="L22" s="49"/>
      <c r="M22" s="6"/>
      <c r="N22" s="35"/>
      <c r="O22" s="35"/>
      <c r="P22" s="50"/>
    </row>
    <row r="23" spans="2:16">
      <c r="B23" s="110"/>
      <c r="C23" s="111"/>
      <c r="D23" s="6"/>
      <c r="E23" s="33"/>
      <c r="F23" s="35"/>
      <c r="G23" s="49"/>
      <c r="H23" s="6"/>
      <c r="I23" s="35"/>
      <c r="J23" s="35"/>
      <c r="K23" s="35"/>
      <c r="L23" s="49"/>
      <c r="M23" s="6"/>
      <c r="N23" s="35"/>
      <c r="O23" s="35"/>
      <c r="P23" s="50"/>
    </row>
    <row r="24" spans="2:16">
      <c r="B24" s="110"/>
      <c r="C24" s="111"/>
      <c r="D24" s="6"/>
      <c r="E24" s="33"/>
      <c r="F24" s="35"/>
      <c r="G24" s="49"/>
      <c r="H24" s="6"/>
      <c r="I24" s="35"/>
      <c r="J24" s="35"/>
      <c r="K24" s="35"/>
      <c r="L24" s="49"/>
      <c r="M24" s="6"/>
      <c r="N24" s="35"/>
      <c r="O24" s="35"/>
      <c r="P24" s="50"/>
    </row>
    <row r="25" spans="2:16">
      <c r="B25" s="1"/>
      <c r="C25" s="38" t="s">
        <v>154</v>
      </c>
      <c r="D25" s="38"/>
      <c r="E25" s="38"/>
      <c r="F25" s="41"/>
      <c r="G25" s="41">
        <f>SUM(G20:G24)</f>
        <v>0</v>
      </c>
      <c r="H25" s="40"/>
      <c r="I25" s="40"/>
      <c r="J25" s="41"/>
      <c r="K25" s="40"/>
      <c r="L25" s="41">
        <f>SUM(L20:L24)</f>
        <v>0</v>
      </c>
      <c r="M25" s="40"/>
      <c r="N25" s="40"/>
      <c r="O25" s="41"/>
      <c r="P25" s="51">
        <f>SUM(P20:P24)</f>
        <v>0</v>
      </c>
    </row>
    <row r="26" spans="2:16">
      <c r="B26" s="1"/>
      <c r="C26" s="20" t="s">
        <v>155</v>
      </c>
      <c r="D26" s="20"/>
      <c r="E26" s="20"/>
      <c r="F26" s="43"/>
      <c r="G26" s="43"/>
      <c r="H26" s="21"/>
      <c r="I26" s="21"/>
      <c r="J26" s="43"/>
      <c r="K26" s="21"/>
      <c r="L26" s="43"/>
      <c r="M26" s="21"/>
      <c r="N26" s="21"/>
      <c r="O26" s="43"/>
      <c r="P26" s="52">
        <f>G25+L25+P25</f>
        <v>0</v>
      </c>
    </row>
    <row r="27" spans="2:16">
      <c r="B27" s="103" t="s">
        <v>156</v>
      </c>
      <c r="C27" s="104"/>
      <c r="D27" s="45">
        <f>SUM(G11,G18,G25)</f>
        <v>448.4</v>
      </c>
      <c r="E27" s="45"/>
      <c r="F27" s="45"/>
      <c r="G27" s="45"/>
      <c r="H27" s="45">
        <f>SUM(L11,L18,L25)</f>
        <v>0</v>
      </c>
      <c r="I27" s="45"/>
      <c r="J27" s="45"/>
      <c r="K27" s="45"/>
      <c r="L27" s="45"/>
      <c r="M27" s="45">
        <f>SUM(P11,P18,P25)</f>
        <v>0</v>
      </c>
      <c r="N27" s="45"/>
      <c r="O27" s="45"/>
      <c r="P27" s="53"/>
    </row>
    <row r="28" spans="2:16">
      <c r="B28" s="105" t="s">
        <v>157</v>
      </c>
      <c r="C28" s="10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4">
        <f>D27+H27+M27</f>
        <v>448.4</v>
      </c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 ht="14.4">
      <c r="B30" s="107" t="s">
        <v>158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mergeCells count="16">
    <mergeCell ref="B27:C27"/>
    <mergeCell ref="B28:C28"/>
    <mergeCell ref="B30:P30"/>
    <mergeCell ref="B6:B10"/>
    <mergeCell ref="C6:C10"/>
    <mergeCell ref="B13:B17"/>
    <mergeCell ref="C13:C17"/>
    <mergeCell ref="B20:B24"/>
    <mergeCell ref="C20:C24"/>
    <mergeCell ref="B2:C2"/>
    <mergeCell ref="D2:P2"/>
    <mergeCell ref="B3:C3"/>
    <mergeCell ref="D3:P3"/>
    <mergeCell ref="D4:G4"/>
    <mergeCell ref="H4:L4"/>
    <mergeCell ref="M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Resumen</vt:lpstr>
      <vt:lpstr>Supuestos</vt:lpstr>
      <vt:lpstr>1.1 Formalización del Proyecto</vt:lpstr>
      <vt:lpstr>1.2 Planificación del Proyecto</vt:lpstr>
      <vt:lpstr>2.1 Especificación Funcional</vt:lpstr>
      <vt:lpstr>2.2 Modelamiento Funcional</vt:lpstr>
      <vt:lpstr>2.3 Diseño de Arquitectura</vt:lpstr>
      <vt:lpstr>2.4 Diseño de Datos</vt:lpstr>
      <vt:lpstr>2.5 Diseño UI-UX</vt:lpstr>
      <vt:lpstr>3.1 Control de Acceso a Torcly</vt:lpstr>
      <vt:lpstr>4.1 Gestión de Clientes</vt:lpstr>
      <vt:lpstr>4.2 Gestión de Vehículos</vt:lpstr>
      <vt:lpstr>5.1 Catálogo de Productos</vt:lpstr>
      <vt:lpstr>5.2 Control de Inventario</vt:lpstr>
      <vt:lpstr>6.1 Catálogo de Servicios</vt:lpstr>
      <vt:lpstr>7.1 Agenda del Taller</vt:lpstr>
      <vt:lpstr>8.1 Orden de Trabajo</vt:lpstr>
      <vt:lpstr>8.2 Seguimiento del Taller</vt:lpstr>
      <vt:lpstr>9.1 Gestión de Ventas</vt:lpstr>
      <vt:lpstr>9.2 Gestión de Pagos</vt:lpstr>
      <vt:lpstr>10.1 Consulta Centralizada</vt:lpstr>
      <vt:lpstr>11.1 Panel Analítico de Torcly</vt:lpstr>
      <vt:lpstr>12.1 Motor de Apoyo a Reposició</vt:lpstr>
      <vt:lpstr>13.1 Aseguramiento de Calidad</vt:lpstr>
      <vt:lpstr>13.2 Implementación</vt:lpstr>
      <vt:lpstr>13.3 Transferencia de Conocimie</vt:lpstr>
      <vt:lpstr>13.4 Cierre del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Mercado</dc:creator>
  <cp:lastModifiedBy>Sebastian Mercado</cp:lastModifiedBy>
  <dcterms:created xsi:type="dcterms:W3CDTF">2026-09-19T11:59:22Z</dcterms:created>
  <dcterms:modified xsi:type="dcterms:W3CDTF">2026-09-19T11:59:23Z</dcterms:modified>
</cp:coreProperties>
</file>